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defaultThemeVersion="202300"/>
  <mc:AlternateContent xmlns:mc="http://schemas.openxmlformats.org/markup-compatibility/2006">
    <mc:Choice Requires="x15">
      <x15ac:absPath xmlns:x15ac="http://schemas.microsoft.com/office/spreadsheetml/2010/11/ac" url="/Users/davidcavise/Downloads/"/>
    </mc:Choice>
  </mc:AlternateContent>
  <xr:revisionPtr revIDLastSave="0" documentId="13_ncr:1_{96353FAB-06CD-1446-852A-2497B01D8D50}" xr6:coauthVersionLast="47" xr6:coauthVersionMax="47" xr10:uidLastSave="{00000000-0000-0000-0000-000000000000}"/>
  <bookViews>
    <workbookView xWindow="0" yWindow="500" windowWidth="51200" windowHeight="26600" xr2:uid="{00000000-000D-0000-FFFF-FFFF00000000}"/>
  </bookViews>
  <sheets>
    <sheet name="Parcels Dataset Schema" sheetId="1" r:id="rId1"/>
  </sheets>
  <definedNames>
    <definedName name="_xlnm._FilterDatabase" localSheetId="0" hidden="1">'Parcels Dataset Schema'!$A$1:$J$108</definedName>
    <definedName name="Z_1FE985D7_DB8C_4786_A3DF_64E1589D0257_.wvu.FilterData" localSheetId="0" hidden="1">'Parcels Dataset Schema'!$A$1:$I$108</definedName>
    <definedName name="Z_DD742F73_A388_4E5D_8501_18029E3A909E_.wvu.FilterData" localSheetId="0" hidden="1">'Parcels Dataset Schema'!$A$2:$I$108</definedName>
  </definedNames>
  <calcPr calcId="191029"/>
  <customWorkbookViews>
    <customWorkbookView name="Filter 1" guid="{DD742F73-A388-4E5D-8501-18029E3A909E}" maximized="1" windowWidth="0" windowHeight="0" activeSheetId="0"/>
    <customWorkbookView name="Filter 2" guid="{1FE985D7-DB8C-4786-A3DF-64E1589D0257}" maximized="1" windowWidth="0" windowHeight="0" activeSheetId="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95" i="1" l="1"/>
  <c r="B56" i="1"/>
  <c r="B35" i="1"/>
  <c r="H1" i="1"/>
</calcChain>
</file>

<file path=xl/sharedStrings.xml><?xml version="1.0" encoding="utf-8"?>
<sst xmlns="http://schemas.openxmlformats.org/spreadsheetml/2006/main" count="653" uniqueCount="337">
  <si>
    <t>Regrid Parcel Record Schema</t>
  </si>
  <si>
    <t>Current version:</t>
  </si>
  <si>
    <t>Column Name</t>
  </si>
  <si>
    <t>Shapefile Name</t>
  </si>
  <si>
    <t>Type</t>
  </si>
  <si>
    <t>Premium</t>
  </si>
  <si>
    <t>Standard</t>
  </si>
  <si>
    <t>Examples</t>
  </si>
  <si>
    <t>Description</t>
  </si>
  <si>
    <t>First Seen</t>
  </si>
  <si>
    <t>Seq</t>
  </si>
  <si>
    <t>ogc_fid</t>
  </si>
  <si>
    <t>serial primary key</t>
  </si>
  <si>
    <t>✔</t>
  </si>
  <si>
    <t>object ID - Not unique across counties, not persistant over time, use 'll_uuid' preferably below.</t>
  </si>
  <si>
    <t>geoid</t>
  </si>
  <si>
    <t>text</t>
  </si>
  <si>
    <t>06205</t>
  </si>
  <si>
    <t>A 5 digit county id number, consisting of the 2 digit FIPS state code + the 3 digit FIPS county code.</t>
  </si>
  <si>
    <t>parcelnumb</t>
  </si>
  <si>
    <t>2004940</t>
  </si>
  <si>
    <t>Parcel ID/Parcel Number</t>
  </si>
  <si>
    <t>parcelnumb_no_formatting</t>
  </si>
  <si>
    <t>ess</t>
  </si>
  <si>
    <t>XH0118ROAD00</t>
  </si>
  <si>
    <t>This is the county-provided 'parcelnumb' schema attribute, but has all non A-Z and 0-9 characters removed. It is intended to make searching and matching on county parcel number, PIN, or APN easier as formatting and spacing can vary. Please note that sometimes formatting and spacing is required to make parcel numbers unique and as a result this attribute is more likely to have duplicate parcel numbers, it should be used as a last resort for matching.</t>
  </si>
  <si>
    <t>state_parcelnumb</t>
  </si>
  <si>
    <t>state_parc</t>
  </si>
  <si>
    <t>22051-0600003127</t>
  </si>
  <si>
    <t>Statewide parcel identification number. Collected where available from states that provide a statewide parcel ID.</t>
  </si>
  <si>
    <t>account_number</t>
  </si>
  <si>
    <t>account_nu</t>
  </si>
  <si>
    <t>01234X</t>
  </si>
  <si>
    <t>The assessor or tax collector's account identification number for a property.</t>
  </si>
  <si>
    <t>tax_id</t>
  </si>
  <si>
    <t>87642-2002</t>
  </si>
  <si>
    <t>The assessor or tax collector's tax identification number for a property.</t>
  </si>
  <si>
    <t>alt_parcelnumb1</t>
  </si>
  <si>
    <t>alt_parcel</t>
  </si>
  <si>
    <t>RA0580030000</t>
  </si>
  <si>
    <t>A county-provided parcel id number that is not considered to be the primary parcel id number used by the county, but is also used as a parcel id in some contexts. These could be previously used parcel numbers, map numbers, online system id numbers, etc. It is provided in this schema attribute for easy, consistent access, but is also duplicated as a county specific custom column to retain its original, county-provided attribute name.</t>
  </si>
  <si>
    <t>alt_parcelnumb2</t>
  </si>
  <si>
    <t>alt_parc_1</t>
  </si>
  <si>
    <t xml:space="preserve">A county-provided parcel id number that is not considered to be the primary parcel id number used by the county, but is also used as a parcel id in some contexts. These could be previously used parcel numbers, map numbers, online system id numbers, etc. It is provided in this schema attribute for easy, consistent access, but is also duplicated as a county specific custom column to retain its original, county-provided attribute name. </t>
  </si>
  <si>
    <t>alt_parcelnumb3</t>
  </si>
  <si>
    <t>alt_parc_2</t>
  </si>
  <si>
    <t>usecode</t>
  </si>
  <si>
    <t>104</t>
  </si>
  <si>
    <t>Parcel Use Code</t>
  </si>
  <si>
    <t>usedesc</t>
  </si>
  <si>
    <t>Residential</t>
  </si>
  <si>
    <t>Parcel Use Description</t>
  </si>
  <si>
    <t>zoning</t>
  </si>
  <si>
    <t>R-1</t>
  </si>
  <si>
    <t>Governing municipality's zoning code</t>
  </si>
  <si>
    <t>zoning_description</t>
  </si>
  <si>
    <t>zoning_des</t>
  </si>
  <si>
    <t>Governing municipality's zoning code description</t>
  </si>
  <si>
    <t>struct</t>
  </si>
  <si>
    <t>boolean</t>
  </si>
  <si>
    <t>Structure On Parcel</t>
  </si>
  <si>
    <t>structno</t>
  </si>
  <si>
    <t>integer</t>
  </si>
  <si>
    <t>Number of Structures on Parcel</t>
  </si>
  <si>
    <t>yearbuilt</t>
  </si>
  <si>
    <t>Structure Year Built</t>
  </si>
  <si>
    <t>numstories</t>
  </si>
  <si>
    <t>double precision</t>
  </si>
  <si>
    <t>Number of Stories - Can be fractional like 1.5 stories</t>
  </si>
  <si>
    <t>numunits</t>
  </si>
  <si>
    <t>The number of individual living units, apartments or condominiums on a parcel.</t>
  </si>
  <si>
    <t>numrooms</t>
  </si>
  <si>
    <t>2.5</t>
  </si>
  <si>
    <t>The number of rooms in the parcel's primary structure as recorded in county records.</t>
  </si>
  <si>
    <t>structstyle</t>
  </si>
  <si>
    <t>structstyl</t>
  </si>
  <si>
    <t>Structure Style</t>
  </si>
  <si>
    <t>parvaltype</t>
  </si>
  <si>
    <t>Appraised, Assessed, Taxable, Market, Market Value</t>
  </si>
  <si>
    <t>Parcel Value Type - Describes the type or the method the Assessor used to determine and record the values in the parcel value attributes below</t>
  </si>
  <si>
    <t>improvval</t>
  </si>
  <si>
    <t>Improvement Value - in US Dollars (from Assessor's data)</t>
  </si>
  <si>
    <t>landval</t>
  </si>
  <si>
    <t>Land Value - in US Dollars (from Assessor's data)</t>
  </si>
  <si>
    <t>parval</t>
  </si>
  <si>
    <t>Total Parcel Value - in US Dollars (from Assessor's data)</t>
  </si>
  <si>
    <t>agval</t>
  </si>
  <si>
    <t>Agricultural Value - in US Dollars (from Assessor's data)</t>
  </si>
  <si>
    <t>saleprice</t>
  </si>
  <si>
    <t>Last Sale Price - in US Dollars (from Assessor's data)</t>
  </si>
  <si>
    <t>saledate</t>
  </si>
  <si>
    <t>date</t>
  </si>
  <si>
    <t>Last Sale Date (from Assessor's data)</t>
  </si>
  <si>
    <t>taxamt</t>
  </si>
  <si>
    <t>Annual Tax Bill - in US Dollars (from Assessor's data)</t>
  </si>
  <si>
    <t>taxyear</t>
  </si>
  <si>
    <t>2020</t>
  </si>
  <si>
    <t xml:space="preserve">The county provided year the tax related values apply to. When the county specifies a tax year or assessor's tax year, we record it in this attribute. </t>
  </si>
  <si>
    <t>owntype</t>
  </si>
  <si>
    <t>Owner Type</t>
  </si>
  <si>
    <t>owner</t>
  </si>
  <si>
    <t>Owner Name</t>
  </si>
  <si>
    <t>unmodified_owner</t>
  </si>
  <si>
    <t>Owner name before any standardization of punctuation and common government owners, or other details, are modified in any manner.</t>
  </si>
  <si>
    <t>ownfrst</t>
  </si>
  <si>
    <t>Owner First Name (note field name uses "frst" instead of first.)</t>
  </si>
  <si>
    <t>ownlast</t>
  </si>
  <si>
    <t>Owner Last Name</t>
  </si>
  <si>
    <t>owner2</t>
  </si>
  <si>
    <t>Rosalind Franklin</t>
  </si>
  <si>
    <t>Second owner's name</t>
  </si>
  <si>
    <t>owner3</t>
  </si>
  <si>
    <t>Ada Lovelace</t>
  </si>
  <si>
    <t>Third owner's name</t>
  </si>
  <si>
    <t>owner4</t>
  </si>
  <si>
    <t>Barbara McClintock</t>
  </si>
  <si>
    <t>Fourth owner's name</t>
  </si>
  <si>
    <t>previous_owner</t>
  </si>
  <si>
    <t>previous_o</t>
  </si>
  <si>
    <t>Johnson, Katherine</t>
  </si>
  <si>
    <t>The previous owner or grantor of a parcel.</t>
  </si>
  <si>
    <t>mailadd</t>
  </si>
  <si>
    <t>402 S FIFTH AVE</t>
  </si>
  <si>
    <t xml:space="preserve">Parcel Mailing Address - This is the address where the tax and other assessor's communications are sent. It is often thought of as the owner's mailing address. It is often the same address as the parcel physical street address, but very commonly it is a different address than the parcel address itself. </t>
  </si>
  <si>
    <t>mail_address2</t>
  </si>
  <si>
    <t>mail_addre</t>
  </si>
  <si>
    <t>Mailing address second line</t>
  </si>
  <si>
    <t>careof</t>
  </si>
  <si>
    <t>MIKE SMITH</t>
  </si>
  <si>
    <t>Parcel Mailing Address Care Of</t>
  </si>
  <si>
    <t>mail_addno</t>
  </si>
  <si>
    <t>402</t>
  </si>
  <si>
    <t>Mailing address street number</t>
  </si>
  <si>
    <t>mail_addpref</t>
  </si>
  <si>
    <t>mail_addpr</t>
  </si>
  <si>
    <t>S</t>
  </si>
  <si>
    <t>Mailing address street prefix</t>
  </si>
  <si>
    <t>mail_addstr</t>
  </si>
  <si>
    <t>mail_addst</t>
  </si>
  <si>
    <t>FOURTH</t>
  </si>
  <si>
    <t>Mailing address street name</t>
  </si>
  <si>
    <t>mail_addsttyp</t>
  </si>
  <si>
    <t>mail_add_1</t>
  </si>
  <si>
    <t>AVE</t>
  </si>
  <si>
    <t>Mailing address street type</t>
  </si>
  <si>
    <t>mail_addstsuf</t>
  </si>
  <si>
    <t>mail_add_2</t>
  </si>
  <si>
    <t>NW</t>
  </si>
  <si>
    <t>Mailing address street suffix</t>
  </si>
  <si>
    <t>mail_unit</t>
  </si>
  <si>
    <t>APT # 2</t>
  </si>
  <si>
    <t>Mailing address unit number</t>
  </si>
  <si>
    <t>mail_city</t>
  </si>
  <si>
    <t>Ann Arbor</t>
  </si>
  <si>
    <t>Mailing address city</t>
  </si>
  <si>
    <t>mail_state2</t>
  </si>
  <si>
    <t>mail_state</t>
  </si>
  <si>
    <t>MI</t>
  </si>
  <si>
    <t>Mailing address state</t>
  </si>
  <si>
    <t>mail_zip</t>
  </si>
  <si>
    <t>48103; 48104-3423</t>
  </si>
  <si>
    <t>Mailing address zip code</t>
  </si>
  <si>
    <t>mail_country</t>
  </si>
  <si>
    <t>US, Indonesia, Canada</t>
  </si>
  <si>
    <t>Mailing address country</t>
  </si>
  <si>
    <t>mail_urbanization</t>
  </si>
  <si>
    <t>mail_urban</t>
  </si>
  <si>
    <t>Caguas</t>
  </si>
  <si>
    <t>Mailing Urbanización (Puerto Rico)</t>
  </si>
  <si>
    <t>original_mailing_address</t>
  </si>
  <si>
    <t>text (jsonb)</t>
  </si>
  <si>
    <t xml:space="preserve">Owner mailing address fields as originally provided by the county, encoded as a JSON object. Generated before any cleaning steps are done. </t>
  </si>
  <si>
    <t>address</t>
  </si>
  <si>
    <t>12109 KATZ RD</t>
  </si>
  <si>
    <t>Parcel Physical Street Address - This is the address of the parcel itself. Not every parcel has a street address, especially in agricultural areas and other large parcels. Also called the "situs address" or "site address".</t>
  </si>
  <si>
    <t>address2</t>
  </si>
  <si>
    <t>George's Ice Cream Shoppe</t>
  </si>
  <si>
    <t>Additional street address details</t>
  </si>
  <si>
    <t>saddno</t>
  </si>
  <si>
    <t>12109</t>
  </si>
  <si>
    <t>Parcel Address Number</t>
  </si>
  <si>
    <t>saddpref</t>
  </si>
  <si>
    <t>N</t>
  </si>
  <si>
    <t>Parcel Address Prefix</t>
  </si>
  <si>
    <t>saddstr</t>
  </si>
  <si>
    <t>GLENN</t>
  </si>
  <si>
    <t>Parcel Address Street Name</t>
  </si>
  <si>
    <t>saddsttyp</t>
  </si>
  <si>
    <t>RD</t>
  </si>
  <si>
    <t>Parcel Address Street Type</t>
  </si>
  <si>
    <t>saddstsuf</t>
  </si>
  <si>
    <t>Parcel Address Street Suffix</t>
  </si>
  <si>
    <t>sunit</t>
  </si>
  <si>
    <t>Apt 2, Unit B</t>
  </si>
  <si>
    <t>Parcel Address Unit</t>
  </si>
  <si>
    <t>scity</t>
  </si>
  <si>
    <t>GRASS LAKE</t>
  </si>
  <si>
    <t>Parcel Address City</t>
  </si>
  <si>
    <t>original_address</t>
  </si>
  <si>
    <t>original_a</t>
  </si>
  <si>
    <t>{"address":"12340 REID RD","saddno":"123400","saddstr":"REID RD","scity":"DURAND","szip":"48429"}</t>
  </si>
  <si>
    <t xml:space="preserve">Parcel Address fields as originally provided by the county, encoded as a JSON object. This field was originally separated by a semicolon and a space and data will exist in that format as a migration happens over time. </t>
  </si>
  <si>
    <t>city</t>
  </si>
  <si>
    <t>woodstock</t>
  </si>
  <si>
    <t>US Census County Subdivision - https://www2.census.gov/geo/pdfs/reference/GARM/Ch8GARM.pdf. Used for organizational purposes. Refer to scity for the city associated with the site address.</t>
  </si>
  <si>
    <t>county</t>
  </si>
  <si>
    <t>Livingston</t>
  </si>
  <si>
    <t>Parcel Address County</t>
  </si>
  <si>
    <t>state2</t>
  </si>
  <si>
    <t>Parcel Address State</t>
  </si>
  <si>
    <t>szip</t>
  </si>
  <si>
    <t>48137-2300</t>
  </si>
  <si>
    <t>Parcel Address Zip Code</t>
  </si>
  <si>
    <t>szip5</t>
  </si>
  <si>
    <t>48137</t>
  </si>
  <si>
    <t>5 Digit Parcel Zip Code</t>
  </si>
  <si>
    <t>urbanization</t>
  </si>
  <si>
    <t>urbanizati</t>
  </si>
  <si>
    <t>Site Urbanización (Puerto Rico)</t>
  </si>
  <si>
    <t>location_name</t>
  </si>
  <si>
    <t>location_n</t>
  </si>
  <si>
    <t>Briarwood Mall</t>
  </si>
  <si>
    <t>A name commonly associated with this parcel</t>
  </si>
  <si>
    <t>address_source</t>
  </si>
  <si>
    <t>address_so</t>
  </si>
  <si>
    <t>openaddresses;cass;county;ZCTA</t>
  </si>
  <si>
    <t>Primary source of the address data for the parcel record. Default source if none is listed is the county.</t>
  </si>
  <si>
    <t>legaldesc</t>
  </si>
  <si>
    <t>Legal Description</t>
  </si>
  <si>
    <t>plat</t>
  </si>
  <si>
    <t>A</t>
  </si>
  <si>
    <t>Plat number the parcel is recorded on</t>
  </si>
  <si>
    <t>book</t>
  </si>
  <si>
    <t>231</t>
  </si>
  <si>
    <t>Book/Liber the parcel is recorded in</t>
  </si>
  <si>
    <t>page</t>
  </si>
  <si>
    <t>2</t>
  </si>
  <si>
    <t>Page/Folio the parcel is recorded on</t>
  </si>
  <si>
    <t>block</t>
  </si>
  <si>
    <t>Parcel block</t>
  </si>
  <si>
    <t>lot</t>
  </si>
  <si>
    <t>Parcel lot</t>
  </si>
  <si>
    <t>neighborhood</t>
  </si>
  <si>
    <t>neighborho</t>
  </si>
  <si>
    <t>Old West Side</t>
  </si>
  <si>
    <t>Neighborhood name</t>
  </si>
  <si>
    <t>neighborhood_code</t>
  </si>
  <si>
    <t>neighbor_1</t>
  </si>
  <si>
    <t>An alpha numeric code labeled from the source as a neighborhood code</t>
  </si>
  <si>
    <t>subdivision</t>
  </si>
  <si>
    <t>subdivisio</t>
  </si>
  <si>
    <t>Subdivision</t>
  </si>
  <si>
    <t>lat</t>
  </si>
  <si>
    <t>42.266421</t>
  </si>
  <si>
    <t>Decimal latitude coordinate (EPSG:4326). Guaranteed to be a point within the parcel. Usually this is the center or "centroid" of the parcel. When the center of the parcel is not actually in the parcel boundary, we move the point to the parcel itself.</t>
  </si>
  <si>
    <t>lon</t>
  </si>
  <si>
    <t>-83.747204</t>
  </si>
  <si>
    <t>Decimal longitude coordinate (EPSG:4326). Guaranteed to be a point within the parcel. Usually this is the center or "centroid" of the parcel. When the center of the parcel is not actually in the parcel boundary, we move the point to the parcel itself.</t>
  </si>
  <si>
    <t>qoz</t>
  </si>
  <si>
    <t>Yes or No</t>
  </si>
  <si>
    <t>Is this parcel in a US Federal Qualified Opportunity Zone</t>
  </si>
  <si>
    <t>qoz_tract</t>
  </si>
  <si>
    <t>30059000100, 30107000100</t>
  </si>
  <si>
    <r>
      <rPr>
        <sz val="10"/>
        <rFont val="Public Sans"/>
      </rPr>
      <t xml:space="preserve">Census tract number as it was defined in Dec 2018 when QOZs were designated. 
Data from: https://www.cdfifund.gov/Pages/Opportunity-Zones.aspx
</t>
    </r>
    <r>
      <rPr>
        <u/>
        <sz val="10"/>
        <color rgb="FF1155CC"/>
        <rFont val="Public Sans"/>
      </rPr>
      <t>https://www.irs.gov/newsroom/opportunity-zones-frequently-asked-questions</t>
    </r>
  </si>
  <si>
    <t>census_tract</t>
  </si>
  <si>
    <t>census_tra</t>
  </si>
  <si>
    <t>26091061800</t>
  </si>
  <si>
    <t>2020 Census tract</t>
  </si>
  <si>
    <t>census_block</t>
  </si>
  <si>
    <t>census_blo</t>
  </si>
  <si>
    <t>260910618004006</t>
  </si>
  <si>
    <t>2020 Census block</t>
  </si>
  <si>
    <t>census_blockgroup</t>
  </si>
  <si>
    <t>census_b_1</t>
  </si>
  <si>
    <t>260910618004</t>
  </si>
  <si>
    <t>2020 Census blockgroup</t>
  </si>
  <si>
    <t>census_zcta</t>
  </si>
  <si>
    <t>census_zct</t>
  </si>
  <si>
    <t>70067</t>
  </si>
  <si>
    <t>The Census Zip Code Tabulation Area (ZCTA) in which the center of the parcel is located.</t>
  </si>
  <si>
    <t>ll_last_refresh</t>
  </si>
  <si>
    <t>ll_last_re</t>
  </si>
  <si>
    <t>2022-01-19</t>
  </si>
  <si>
    <t>This is the date we most recently refreshed the data from the county source. ll_last_refresh is the same for every parcel, as it applies to the county data as a whole. 'll_last_refresh' should be the same value as 'last_refresh' in the 'verse' table file.</t>
  </si>
  <si>
    <t>sourceurl</t>
  </si>
  <si>
    <t>A county provided url to the county parcel record online</t>
  </si>
  <si>
    <t>recrdareano</t>
  </si>
  <si>
    <t>recrdarean</t>
  </si>
  <si>
    <t>2432</t>
  </si>
  <si>
    <r>
      <rPr>
        <sz val="10"/>
        <rFont val="Public Sans"/>
      </rPr>
      <t>Recorded Area (number)</t>
    </r>
    <r>
      <rPr>
        <strike/>
        <sz val="10"/>
        <rFont val="Public Sans"/>
      </rPr>
      <t xml:space="preserve">
</t>
    </r>
    <r>
      <rPr>
        <sz val="10"/>
        <rFont val="Public Sans"/>
      </rPr>
      <t>This is the Assessor's recorded structure square footage</t>
    </r>
  </si>
  <si>
    <t>deeded_acres</t>
  </si>
  <si>
    <t>Acres listed as "deeded acres" by the county. Often different and separate from acreage calculated by GIS.</t>
  </si>
  <si>
    <t>gisacre</t>
  </si>
  <si>
    <t>0.43</t>
  </si>
  <si>
    <t>Acres value provided by the source</t>
  </si>
  <si>
    <t>sqft</t>
  </si>
  <si>
    <t>23392</t>
  </si>
  <si>
    <t>Parcel Square Feet value provided by the source</t>
  </si>
  <si>
    <t>ll_gisacre</t>
  </si>
  <si>
    <t>1.435</t>
  </si>
  <si>
    <t>Parcel acres as calculated by Regrid from county parcel geometry</t>
  </si>
  <si>
    <t>ll_gissqft</t>
  </si>
  <si>
    <t>32829</t>
  </si>
  <si>
    <t>Parcel square feet as calculated by Regrid from supplied parcel geometry</t>
  </si>
  <si>
    <t>plss_township</t>
  </si>
  <si>
    <t>plss_towns</t>
  </si>
  <si>
    <t>005S</t>
  </si>
  <si>
    <t>Based on the centroid of the parcel, the Public Land Survey System township the parcel is located in. A parcel may cross township, range and/or section lines, we record the location of the center of parcel for reference. These are not county provided values and are derived from the Bureau of Land Management designated polygons.</t>
  </si>
  <si>
    <t>plss_section</t>
  </si>
  <si>
    <t>plss_secti</t>
  </si>
  <si>
    <t>Section 09</t>
  </si>
  <si>
    <t>Based on the centroid of the parcel, the Public Land Survey System section the parcel is located in. A parcel may cross township, range and/or section lines, we record the location of the center of parcel for reference. These are not county provided values and are derived from the Bureau of Land Management designated polygons.</t>
  </si>
  <si>
    <t>plss_range</t>
  </si>
  <si>
    <t>003E</t>
  </si>
  <si>
    <t>Based on the centroid of the parcel, the Public Land Survey System range the parcel is located in. A parcel may cross township, range and/or section lines, we record the location of the center of parcel for reference. These are not county provided values and are derived from the Bureau of Land Management designated polygons.</t>
  </si>
  <si>
    <t>reviseddate</t>
  </si>
  <si>
    <t>reviseddat</t>
  </si>
  <si>
    <t xml:space="preserve">The last date of last revision as provided by the county assessor's office if available. </t>
  </si>
  <si>
    <t>path</t>
  </si>
  <si>
    <t>/us/mi/wayne/detroit/123, /us/fl/456</t>
  </si>
  <si>
    <t xml:space="preserve">A Regrid human-readable ID for this parcel. Not guaranteed to be stable between updates. Use ll_uuid for a permanent and persistent Regrid parcel id. </t>
  </si>
  <si>
    <t>ll_stable_id</t>
  </si>
  <si>
    <t>ll_stable_</t>
  </si>
  <si>
    <t>'parcelnumb', 'address', 'geometry', 'preserved'  or null</t>
  </si>
  <si>
    <t>Indicates if the 'll_uuid' value has changed or was newly assigned during the last refresh from the county. A 'null' indicates a new ll_uuid and path were generated because the new data was not matched to any existing data during the county data refresh process. If there is any value in this field besides a NULL or empty string, it means we were able to match the refreshed parcel with a parcel in our previous data. The available non-null values are 'parcelnumb', 'address', 'geometry' or 'preserved' and they indicate what attribute we used to match the refreshed parcel to the previous parcel. 'preserved' is a legacy value and just indicates that the ll_uuid was carried forward from the previous data.</t>
  </si>
  <si>
    <t>ll_uuid</t>
  </si>
  <si>
    <t>uuid</t>
  </si>
  <si>
    <t>4cc9eda6-883c-4f38-9a07-b44900a64b16</t>
  </si>
  <si>
    <t>Uniquely identifies a single parcel. A stable parcel id across county data refreshes. It is the value that should be used for tracking individual parcels. It is also the value that should be used for linking to any other data or as a foreign key.</t>
  </si>
  <si>
    <t>ll_stack_uuid</t>
  </si>
  <si>
    <t>ll_stack_u</t>
  </si>
  <si>
    <t>A universal unique id for a "stack" of parcels. The same ll_stack_uuid is assigned to every parcel in a group of parcels with exactly the same geometry, what we call a "stack". Only parcels that are are part of stack of parcels will have a ll_stack_uuid, all other parcels will have a NULL for this attribute. Released on Oct. 17th, 2022</t>
  </si>
  <si>
    <t>ll_updated_at</t>
  </si>
  <si>
    <t>ll_updated</t>
  </si>
  <si>
    <t>timestamptz</t>
  </si>
  <si>
    <t>2019-06-06 12:45:21.285102-04</t>
  </si>
  <si>
    <t>Timestamp of the most recent change of any kind to this row in the table including internal changes to the record, and/or county updates. ll_last_refresh should be used for the date of the parcel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</si>
</sst>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1">
    <font>
      <sz val="10"/>
      <color rgb="FF000000"/>
      <name val="Arial"/>
    </font>
    <font>
      <b/>
      <sz val="9"/>
      <name val="Public Sans"/>
    </font>
    <font>
      <sz val="10"/>
      <name val="JetBrains Mono"/>
    </font>
    <font>
      <sz val="10"/>
      <name val="Public Sans"/>
    </font>
    <font>
      <b/>
      <sz val="10"/>
      <name val="Public Sans"/>
    </font>
    <font>
      <sz val="10"/>
      <name val="&quot;Public Sans&quot;"/>
    </font>
    <font>
      <sz val="10"/>
      <name val="Arial"/>
      <family val="2"/>
    </font>
    <font>
      <sz val="10"/>
      <color rgb="FF000000"/>
      <name val="Public Sans"/>
    </font>
    <font>
      <u/>
      <sz val="10"/>
      <color rgb="FF0000FF"/>
      <name val="Public Sans"/>
    </font>
    <font>
      <u/>
      <sz val="10"/>
      <color rgb="FF1155CC"/>
      <name val="Public Sans"/>
    </font>
    <font>
      <strike/>
      <sz val="10"/>
      <name val="Public Sans"/>
    </font>
  </fonts>
  <fills count="2">
    <fill>
      <patternFill patternType="none"/>
    </fill>
    <fill>
      <patternFill patternType="gray125"/>
    </fill>
  </fills>
  <borders count="1">
    <border>
      <left/>
      <right/>
      <top/>
      <bottom/>
      <diagonal/>
    </border>
  </borders>
  <cellStyleXfs count="1">
    <xf numFmtId="0" fontId="0" fillId="0" borderId="0"/>
  </cellStyleXfs>
  <cellXfs count="30">
    <xf numFmtId="0" fontId="0" fillId="0" borderId="0" xfId="0"/>
    <xf numFmtId="0" fontId="1" fillId="0" borderId="0" xfId="0" applyFont="1" applyAlignment="1">
      <alignment vertical="center"/>
    </xf>
    <xf numFmtId="49" fontId="2" fillId="0" borderId="0" xfId="0" applyNumberFormat="1" applyFont="1" applyAlignment="1">
      <alignment horizontal="left" vertical="center" wrapText="1"/>
    </xf>
    <xf numFmtId="49" fontId="3" fillId="0" borderId="0" xfId="0" applyNumberFormat="1" applyFont="1" applyAlignment="1">
      <alignment horizontal="left" vertical="center" wrapText="1"/>
    </xf>
    <xf numFmtId="49" fontId="3" fillId="0" borderId="0" xfId="0" applyNumberFormat="1" applyFont="1" applyAlignment="1">
      <alignment horizontal="center" vertical="center" wrapText="1"/>
    </xf>
    <xf numFmtId="49" fontId="4" fillId="0" borderId="0" xfId="0" applyNumberFormat="1" applyFont="1" applyAlignment="1">
      <alignment horizontal="left" vertical="center" wrapText="1"/>
    </xf>
    <xf numFmtId="164" fontId="4" fillId="0" borderId="0" xfId="0" applyNumberFormat="1" applyFont="1" applyAlignment="1">
      <alignment horizontal="center" vertical="center" wrapText="1"/>
    </xf>
    <xf numFmtId="0" fontId="3" fillId="0" borderId="0" xfId="0" applyFont="1" applyAlignment="1">
      <alignment horizontal="center" vertical="center" wrapText="1"/>
    </xf>
    <xf numFmtId="0" fontId="3" fillId="0" borderId="0" xfId="0" applyFont="1" applyAlignment="1">
      <alignment vertical="center"/>
    </xf>
    <xf numFmtId="0" fontId="4" fillId="0" borderId="0" xfId="0" applyFont="1" applyAlignment="1">
      <alignment horizontal="left" vertical="center"/>
    </xf>
    <xf numFmtId="0" fontId="4" fillId="0" borderId="0" xfId="0" applyFont="1" applyAlignment="1">
      <alignment horizontal="center" vertical="center"/>
    </xf>
    <xf numFmtId="0" fontId="4" fillId="0" borderId="0" xfId="0" applyFont="1" applyAlignment="1">
      <alignment horizontal="left" vertical="center" wrapText="1"/>
    </xf>
    <xf numFmtId="164" fontId="4" fillId="0" borderId="0" xfId="0" applyNumberFormat="1" applyFont="1" applyAlignment="1">
      <alignment horizontal="left" vertical="center"/>
    </xf>
    <xf numFmtId="0" fontId="2" fillId="0" borderId="0" xfId="0" applyFont="1" applyAlignment="1">
      <alignment vertical="top"/>
    </xf>
    <xf numFmtId="0" fontId="3" fillId="0" borderId="0" xfId="0" applyFont="1" applyAlignment="1">
      <alignment vertical="top"/>
    </xf>
    <xf numFmtId="0" fontId="5" fillId="0" borderId="0" xfId="0" applyFont="1" applyAlignment="1">
      <alignment vertical="top"/>
    </xf>
    <xf numFmtId="0" fontId="3" fillId="0" borderId="0" xfId="0" applyFont="1" applyAlignment="1">
      <alignment horizontal="center" vertical="center"/>
    </xf>
    <xf numFmtId="49" fontId="3" fillId="0" borderId="0" xfId="0" applyNumberFormat="1" applyFont="1" applyAlignment="1">
      <alignment horizontal="left" vertical="top" wrapText="1"/>
    </xf>
    <xf numFmtId="0" fontId="3" fillId="0" borderId="0" xfId="0" applyFont="1" applyAlignment="1">
      <alignment vertical="top" wrapText="1"/>
    </xf>
    <xf numFmtId="164" fontId="3" fillId="0" borderId="0" xfId="0" applyNumberFormat="1" applyFont="1" applyAlignment="1">
      <alignment horizontal="center" vertical="center"/>
    </xf>
    <xf numFmtId="0" fontId="6" fillId="0" borderId="0" xfId="0" applyFont="1" applyAlignment="1">
      <alignment vertical="center"/>
    </xf>
    <xf numFmtId="0" fontId="7" fillId="0" borderId="0" xfId="0" applyFont="1" applyAlignment="1">
      <alignment horizontal="left" vertical="top" wrapText="1"/>
    </xf>
    <xf numFmtId="164" fontId="7" fillId="0" borderId="0" xfId="0" applyNumberFormat="1" applyFont="1" applyAlignment="1">
      <alignment horizontal="center" vertical="center"/>
    </xf>
    <xf numFmtId="49" fontId="3" fillId="0" borderId="0" xfId="0" applyNumberFormat="1" applyFont="1" applyAlignment="1">
      <alignment horizontal="center" vertical="center"/>
    </xf>
    <xf numFmtId="164" fontId="3" fillId="0" borderId="0" xfId="0" applyNumberFormat="1" applyFont="1" applyAlignment="1">
      <alignment horizontal="center" vertical="center" wrapText="1"/>
    </xf>
    <xf numFmtId="49" fontId="3" fillId="0" borderId="0" xfId="0" applyNumberFormat="1" applyFont="1" applyAlignment="1">
      <alignment vertical="top"/>
    </xf>
    <xf numFmtId="49" fontId="7" fillId="0" borderId="0" xfId="0" applyNumberFormat="1" applyFont="1" applyAlignment="1">
      <alignment vertical="top" wrapText="1"/>
    </xf>
    <xf numFmtId="0" fontId="8" fillId="0" borderId="0" xfId="0" applyFont="1" applyAlignment="1">
      <alignment vertical="top" wrapText="1"/>
    </xf>
    <xf numFmtId="49" fontId="3" fillId="0" borderId="0" xfId="0" applyNumberFormat="1" applyFont="1" applyAlignment="1">
      <alignment vertical="top" wrapText="1"/>
    </xf>
    <xf numFmtId="49" fontId="3" fillId="0" borderId="0" xfId="0" quotePrefix="1" applyNumberFormat="1" applyFont="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irs.gov/newsroom/opportunity-zones-frequently-asked-question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J108"/>
  <sheetViews>
    <sheetView tabSelected="1" workbookViewId="0">
      <pane xSplit="1" ySplit="2" topLeftCell="B72" activePane="bottomRight" state="frozen"/>
      <selection pane="topRight" activeCell="B1" sqref="B1"/>
      <selection pane="bottomLeft" activeCell="A3" sqref="A3"/>
      <selection pane="bottomRight" activeCell="B3" sqref="B3"/>
    </sheetView>
  </sheetViews>
  <sheetFormatPr baseColWidth="10" defaultColWidth="12.6640625" defaultRowHeight="15.75" customHeight="1"/>
  <cols>
    <col min="1" max="1" width="40.1640625" customWidth="1"/>
    <col min="2" max="2" width="16.33203125" customWidth="1"/>
    <col min="3" max="3" width="15.1640625" customWidth="1"/>
    <col min="4" max="4" width="8.1640625" customWidth="1"/>
    <col min="5" max="5" width="8.33203125" customWidth="1"/>
    <col min="6" max="6" width="37.6640625" customWidth="1"/>
    <col min="7" max="7" width="68.83203125" customWidth="1"/>
    <col min="8" max="8" width="15.1640625" customWidth="1"/>
    <col min="9" max="9" width="7.6640625" customWidth="1"/>
    <col min="10" max="10" width="15.1640625" customWidth="1"/>
  </cols>
  <sheetData>
    <row r="1" spans="1:10" ht="15.75" customHeight="1">
      <c r="A1" s="1" t="s">
        <v>0</v>
      </c>
      <c r="B1" s="2"/>
      <c r="C1" s="3"/>
      <c r="D1" s="4"/>
      <c r="E1" s="4"/>
      <c r="F1" s="3"/>
      <c r="G1" s="5" t="s">
        <v>1</v>
      </c>
      <c r="H1" s="6">
        <f>MAX(H3:H972)</f>
        <v>15</v>
      </c>
      <c r="I1" s="7"/>
      <c r="J1" s="8"/>
    </row>
    <row r="2" spans="1:10" ht="15.75" customHeight="1">
      <c r="A2" s="9" t="s">
        <v>2</v>
      </c>
      <c r="B2" s="9" t="s">
        <v>3</v>
      </c>
      <c r="C2" s="9" t="s">
        <v>4</v>
      </c>
      <c r="D2" s="10" t="s">
        <v>5</v>
      </c>
      <c r="E2" s="10" t="s">
        <v>6</v>
      </c>
      <c r="F2" s="5" t="s">
        <v>7</v>
      </c>
      <c r="G2" s="11" t="s">
        <v>8</v>
      </c>
      <c r="H2" s="12" t="s">
        <v>9</v>
      </c>
      <c r="I2" s="9" t="s">
        <v>10</v>
      </c>
      <c r="J2" s="8"/>
    </row>
    <row r="3" spans="1:10" ht="15.75" customHeight="1">
      <c r="A3" s="13" t="s">
        <v>11</v>
      </c>
      <c r="B3" s="14"/>
      <c r="C3" s="15" t="s">
        <v>12</v>
      </c>
      <c r="D3" s="16" t="s">
        <v>13</v>
      </c>
      <c r="E3" s="16" t="s">
        <v>13</v>
      </c>
      <c r="F3" s="17"/>
      <c r="G3" s="18" t="s">
        <v>14</v>
      </c>
      <c r="H3" s="19">
        <v>1</v>
      </c>
      <c r="I3" s="16">
        <v>1</v>
      </c>
      <c r="J3" s="20"/>
    </row>
    <row r="4" spans="1:10" ht="15.75" customHeight="1">
      <c r="A4" s="13" t="s">
        <v>15</v>
      </c>
      <c r="B4" s="14"/>
      <c r="C4" s="15" t="s">
        <v>16</v>
      </c>
      <c r="D4" s="16" t="s">
        <v>13</v>
      </c>
      <c r="E4" s="16" t="s">
        <v>13</v>
      </c>
      <c r="F4" s="17" t="s">
        <v>17</v>
      </c>
      <c r="G4" s="18" t="s">
        <v>18</v>
      </c>
      <c r="H4" s="19">
        <v>1</v>
      </c>
      <c r="I4" s="16">
        <v>2</v>
      </c>
      <c r="J4" s="20"/>
    </row>
    <row r="5" spans="1:10" ht="15.75" customHeight="1">
      <c r="A5" s="13" t="s">
        <v>19</v>
      </c>
      <c r="B5" s="14"/>
      <c r="C5" s="15" t="s">
        <v>16</v>
      </c>
      <c r="D5" s="16" t="s">
        <v>13</v>
      </c>
      <c r="E5" s="16" t="s">
        <v>13</v>
      </c>
      <c r="F5" s="17" t="s">
        <v>20</v>
      </c>
      <c r="G5" s="18" t="s">
        <v>21</v>
      </c>
      <c r="H5" s="19">
        <v>1</v>
      </c>
      <c r="I5" s="16">
        <v>3</v>
      </c>
      <c r="J5" s="20"/>
    </row>
    <row r="6" spans="1:10" ht="15.75" customHeight="1">
      <c r="A6" s="13" t="s">
        <v>22</v>
      </c>
      <c r="B6" s="14" t="s">
        <v>23</v>
      </c>
      <c r="C6" s="15" t="s">
        <v>16</v>
      </c>
      <c r="D6" s="16" t="s">
        <v>13</v>
      </c>
      <c r="E6" s="16" t="s">
        <v>13</v>
      </c>
      <c r="F6" s="17" t="s">
        <v>24</v>
      </c>
      <c r="G6" s="18" t="s">
        <v>25</v>
      </c>
      <c r="H6" s="19">
        <v>10</v>
      </c>
      <c r="I6" s="16">
        <v>4</v>
      </c>
      <c r="J6" s="20"/>
    </row>
    <row r="7" spans="1:10" ht="15.75" customHeight="1">
      <c r="A7" s="13" t="s">
        <v>26</v>
      </c>
      <c r="B7" s="14" t="s">
        <v>27</v>
      </c>
      <c r="C7" s="15" t="s">
        <v>16</v>
      </c>
      <c r="D7" s="16" t="s">
        <v>13</v>
      </c>
      <c r="E7" s="16" t="s">
        <v>13</v>
      </c>
      <c r="F7" s="17" t="s">
        <v>28</v>
      </c>
      <c r="G7" s="18" t="s">
        <v>29</v>
      </c>
      <c r="H7" s="19">
        <v>13</v>
      </c>
      <c r="I7" s="16">
        <v>5</v>
      </c>
      <c r="J7" s="20"/>
    </row>
    <row r="8" spans="1:10" ht="15.75" customHeight="1">
      <c r="A8" s="13" t="s">
        <v>30</v>
      </c>
      <c r="B8" s="14" t="s">
        <v>31</v>
      </c>
      <c r="C8" s="15" t="s">
        <v>16</v>
      </c>
      <c r="D8" s="16" t="s">
        <v>13</v>
      </c>
      <c r="E8" s="16" t="s">
        <v>13</v>
      </c>
      <c r="F8" s="17" t="s">
        <v>32</v>
      </c>
      <c r="G8" s="18" t="s">
        <v>33</v>
      </c>
      <c r="H8" s="19">
        <v>13</v>
      </c>
      <c r="I8" s="16">
        <v>6</v>
      </c>
      <c r="J8" s="20"/>
    </row>
    <row r="9" spans="1:10" ht="15.75" customHeight="1">
      <c r="A9" s="13" t="s">
        <v>34</v>
      </c>
      <c r="B9" s="14"/>
      <c r="C9" s="15" t="s">
        <v>16</v>
      </c>
      <c r="D9" s="16" t="s">
        <v>13</v>
      </c>
      <c r="E9" s="16" t="s">
        <v>13</v>
      </c>
      <c r="F9" s="17" t="s">
        <v>35</v>
      </c>
      <c r="G9" s="18" t="s">
        <v>36</v>
      </c>
      <c r="H9" s="19">
        <v>13</v>
      </c>
      <c r="I9" s="16">
        <v>7</v>
      </c>
      <c r="J9" s="20"/>
    </row>
    <row r="10" spans="1:10" ht="15.75" customHeight="1">
      <c r="A10" s="13" t="s">
        <v>37</v>
      </c>
      <c r="B10" s="14" t="s">
        <v>38</v>
      </c>
      <c r="C10" s="15" t="s">
        <v>16</v>
      </c>
      <c r="D10" s="16" t="s">
        <v>13</v>
      </c>
      <c r="E10" s="16" t="s">
        <v>13</v>
      </c>
      <c r="F10" s="17" t="s">
        <v>39</v>
      </c>
      <c r="G10" s="18" t="s">
        <v>40</v>
      </c>
      <c r="H10" s="19">
        <v>10</v>
      </c>
      <c r="I10" s="16">
        <v>8</v>
      </c>
      <c r="J10" s="20"/>
    </row>
    <row r="11" spans="1:10" ht="15.75" customHeight="1">
      <c r="A11" s="13" t="s">
        <v>41</v>
      </c>
      <c r="B11" s="14" t="s">
        <v>42</v>
      </c>
      <c r="C11" s="15" t="s">
        <v>16</v>
      </c>
      <c r="D11" s="16" t="s">
        <v>13</v>
      </c>
      <c r="E11" s="16" t="s">
        <v>13</v>
      </c>
      <c r="F11" s="17" t="s">
        <v>39</v>
      </c>
      <c r="G11" s="18" t="s">
        <v>43</v>
      </c>
      <c r="H11" s="19">
        <v>10</v>
      </c>
      <c r="I11" s="16">
        <v>9</v>
      </c>
      <c r="J11" s="20"/>
    </row>
    <row r="12" spans="1:10" ht="15.75" customHeight="1">
      <c r="A12" s="13" t="s">
        <v>44</v>
      </c>
      <c r="B12" s="14" t="s">
        <v>45</v>
      </c>
      <c r="C12" s="15" t="s">
        <v>16</v>
      </c>
      <c r="D12" s="16" t="s">
        <v>13</v>
      </c>
      <c r="E12" s="16" t="s">
        <v>13</v>
      </c>
      <c r="F12" s="17" t="s">
        <v>39</v>
      </c>
      <c r="G12" s="18" t="s">
        <v>43</v>
      </c>
      <c r="H12" s="19">
        <v>10</v>
      </c>
      <c r="I12" s="16">
        <v>10</v>
      </c>
      <c r="J12" s="20"/>
    </row>
    <row r="13" spans="1:10" ht="15.75" customHeight="1">
      <c r="A13" s="13" t="s">
        <v>46</v>
      </c>
      <c r="B13" s="14"/>
      <c r="C13" s="15" t="s">
        <v>16</v>
      </c>
      <c r="D13" s="16" t="s">
        <v>13</v>
      </c>
      <c r="E13" s="16" t="s">
        <v>13</v>
      </c>
      <c r="F13" s="17" t="s">
        <v>47</v>
      </c>
      <c r="G13" s="18" t="s">
        <v>48</v>
      </c>
      <c r="H13" s="19">
        <v>1</v>
      </c>
      <c r="I13" s="16">
        <v>11</v>
      </c>
      <c r="J13" s="20"/>
    </row>
    <row r="14" spans="1:10" ht="15.75" customHeight="1">
      <c r="A14" s="13" t="s">
        <v>49</v>
      </c>
      <c r="B14" s="14"/>
      <c r="C14" s="15" t="s">
        <v>16</v>
      </c>
      <c r="D14" s="16" t="s">
        <v>13</v>
      </c>
      <c r="E14" s="16" t="s">
        <v>13</v>
      </c>
      <c r="F14" s="17" t="s">
        <v>50</v>
      </c>
      <c r="G14" s="18" t="s">
        <v>51</v>
      </c>
      <c r="H14" s="19">
        <v>1</v>
      </c>
      <c r="I14" s="16">
        <v>12</v>
      </c>
      <c r="J14" s="20"/>
    </row>
    <row r="15" spans="1:10" ht="15.75" customHeight="1">
      <c r="A15" s="13" t="s">
        <v>52</v>
      </c>
      <c r="B15" s="14"/>
      <c r="C15" s="15" t="s">
        <v>16</v>
      </c>
      <c r="D15" s="16" t="s">
        <v>13</v>
      </c>
      <c r="E15" s="16" t="s">
        <v>13</v>
      </c>
      <c r="F15" s="17" t="s">
        <v>53</v>
      </c>
      <c r="G15" s="18" t="s">
        <v>54</v>
      </c>
      <c r="H15" s="19">
        <v>2</v>
      </c>
      <c r="I15" s="16">
        <v>13</v>
      </c>
      <c r="J15" s="20"/>
    </row>
    <row r="16" spans="1:10" ht="15.75" customHeight="1">
      <c r="A16" s="13" t="s">
        <v>55</v>
      </c>
      <c r="B16" s="14" t="s">
        <v>56</v>
      </c>
      <c r="C16" s="15" t="s">
        <v>16</v>
      </c>
      <c r="D16" s="16" t="s">
        <v>13</v>
      </c>
      <c r="E16" s="16" t="s">
        <v>13</v>
      </c>
      <c r="F16" s="17" t="s">
        <v>50</v>
      </c>
      <c r="G16" s="21" t="s">
        <v>57</v>
      </c>
      <c r="H16" s="19">
        <v>2</v>
      </c>
      <c r="I16" s="16">
        <v>14</v>
      </c>
      <c r="J16" s="20"/>
    </row>
    <row r="17" spans="1:10" ht="15.75" customHeight="1">
      <c r="A17" s="13" t="s">
        <v>58</v>
      </c>
      <c r="B17" s="14"/>
      <c r="C17" s="15" t="s">
        <v>59</v>
      </c>
      <c r="D17" s="16" t="s">
        <v>13</v>
      </c>
      <c r="E17" s="16" t="s">
        <v>13</v>
      </c>
      <c r="F17" s="17"/>
      <c r="G17" s="18" t="s">
        <v>60</v>
      </c>
      <c r="H17" s="19">
        <v>1</v>
      </c>
      <c r="I17" s="16">
        <v>19</v>
      </c>
      <c r="J17" s="20"/>
    </row>
    <row r="18" spans="1:10" ht="15.75" customHeight="1">
      <c r="A18" s="13" t="s">
        <v>61</v>
      </c>
      <c r="B18" s="14"/>
      <c r="C18" s="15" t="s">
        <v>62</v>
      </c>
      <c r="D18" s="16" t="s">
        <v>13</v>
      </c>
      <c r="E18" s="16" t="s">
        <v>13</v>
      </c>
      <c r="F18" s="17"/>
      <c r="G18" s="18" t="s">
        <v>63</v>
      </c>
      <c r="H18" s="19">
        <v>1</v>
      </c>
      <c r="I18" s="16">
        <v>20</v>
      </c>
      <c r="J18" s="20"/>
    </row>
    <row r="19" spans="1:10" ht="15.75" customHeight="1">
      <c r="A19" s="13" t="s">
        <v>64</v>
      </c>
      <c r="B19" s="14"/>
      <c r="C19" s="15" t="s">
        <v>62</v>
      </c>
      <c r="D19" s="16" t="s">
        <v>13</v>
      </c>
      <c r="E19" s="16" t="s">
        <v>13</v>
      </c>
      <c r="F19" s="17"/>
      <c r="G19" s="18" t="s">
        <v>65</v>
      </c>
      <c r="H19" s="19">
        <v>1</v>
      </c>
      <c r="I19" s="16">
        <v>21</v>
      </c>
      <c r="J19" s="20"/>
    </row>
    <row r="20" spans="1:10" ht="15.75" customHeight="1">
      <c r="A20" s="13" t="s">
        <v>66</v>
      </c>
      <c r="B20" s="14"/>
      <c r="C20" s="15" t="s">
        <v>67</v>
      </c>
      <c r="D20" s="16" t="s">
        <v>13</v>
      </c>
      <c r="E20" s="16" t="s">
        <v>13</v>
      </c>
      <c r="F20" s="17"/>
      <c r="G20" s="18" t="s">
        <v>68</v>
      </c>
      <c r="H20" s="19">
        <v>1</v>
      </c>
      <c r="I20" s="16">
        <v>22</v>
      </c>
      <c r="J20" s="20"/>
    </row>
    <row r="21" spans="1:10" ht="15.75" customHeight="1">
      <c r="A21" s="13" t="s">
        <v>69</v>
      </c>
      <c r="B21" s="14"/>
      <c r="C21" s="15" t="s">
        <v>62</v>
      </c>
      <c r="D21" s="16" t="s">
        <v>13</v>
      </c>
      <c r="E21" s="16" t="s">
        <v>13</v>
      </c>
      <c r="F21" s="17"/>
      <c r="G21" s="18" t="s">
        <v>70</v>
      </c>
      <c r="H21" s="19">
        <v>1</v>
      </c>
      <c r="I21" s="16">
        <v>23</v>
      </c>
      <c r="J21" s="20"/>
    </row>
    <row r="22" spans="1:10" ht="15.75" customHeight="1">
      <c r="A22" s="13" t="s">
        <v>71</v>
      </c>
      <c r="B22" s="14"/>
      <c r="C22" s="15" t="s">
        <v>67</v>
      </c>
      <c r="D22" s="16" t="s">
        <v>13</v>
      </c>
      <c r="E22" s="16" t="s">
        <v>13</v>
      </c>
      <c r="F22" s="17" t="s">
        <v>72</v>
      </c>
      <c r="G22" s="18" t="s">
        <v>73</v>
      </c>
      <c r="H22" s="19">
        <v>13</v>
      </c>
      <c r="I22" s="16">
        <v>24</v>
      </c>
      <c r="J22" s="20"/>
    </row>
    <row r="23" spans="1:10" ht="15.75" customHeight="1">
      <c r="A23" s="13" t="s">
        <v>74</v>
      </c>
      <c r="B23" s="14" t="s">
        <v>75</v>
      </c>
      <c r="C23" s="15" t="s">
        <v>16</v>
      </c>
      <c r="D23" s="16" t="s">
        <v>13</v>
      </c>
      <c r="E23" s="16" t="s">
        <v>13</v>
      </c>
      <c r="F23" s="17"/>
      <c r="G23" s="18" t="s">
        <v>76</v>
      </c>
      <c r="H23" s="19">
        <v>1</v>
      </c>
      <c r="I23" s="16">
        <v>25</v>
      </c>
      <c r="J23" s="20"/>
    </row>
    <row r="24" spans="1:10" ht="15.75" customHeight="1">
      <c r="A24" s="13" t="s">
        <v>77</v>
      </c>
      <c r="B24" s="14"/>
      <c r="C24" s="15" t="s">
        <v>16</v>
      </c>
      <c r="D24" s="16" t="s">
        <v>13</v>
      </c>
      <c r="E24" s="16" t="s">
        <v>13</v>
      </c>
      <c r="F24" s="17" t="s">
        <v>78</v>
      </c>
      <c r="G24" s="18" t="s">
        <v>79</v>
      </c>
      <c r="H24" s="19">
        <v>1</v>
      </c>
      <c r="I24" s="16">
        <v>26</v>
      </c>
      <c r="J24" s="20"/>
    </row>
    <row r="25" spans="1:10" ht="15.75" customHeight="1">
      <c r="A25" s="13" t="s">
        <v>80</v>
      </c>
      <c r="B25" s="14"/>
      <c r="C25" s="15" t="s">
        <v>67</v>
      </c>
      <c r="D25" s="16" t="s">
        <v>13</v>
      </c>
      <c r="E25" s="16" t="s">
        <v>13</v>
      </c>
      <c r="F25" s="17"/>
      <c r="G25" s="18" t="s">
        <v>81</v>
      </c>
      <c r="H25" s="19">
        <v>1</v>
      </c>
      <c r="I25" s="16">
        <v>27</v>
      </c>
      <c r="J25" s="20"/>
    </row>
    <row r="26" spans="1:10" ht="15.75" customHeight="1">
      <c r="A26" s="13" t="s">
        <v>82</v>
      </c>
      <c r="B26" s="14"/>
      <c r="C26" s="15" t="s">
        <v>67</v>
      </c>
      <c r="D26" s="16" t="s">
        <v>13</v>
      </c>
      <c r="E26" s="16" t="s">
        <v>13</v>
      </c>
      <c r="F26" s="17"/>
      <c r="G26" s="18" t="s">
        <v>83</v>
      </c>
      <c r="H26" s="19">
        <v>1</v>
      </c>
      <c r="I26" s="16">
        <v>28</v>
      </c>
      <c r="J26" s="20"/>
    </row>
    <row r="27" spans="1:10" ht="15.75" customHeight="1">
      <c r="A27" s="13" t="s">
        <v>84</v>
      </c>
      <c r="B27" s="14"/>
      <c r="C27" s="15" t="s">
        <v>67</v>
      </c>
      <c r="D27" s="16" t="s">
        <v>13</v>
      </c>
      <c r="E27" s="16" t="s">
        <v>13</v>
      </c>
      <c r="F27" s="17"/>
      <c r="G27" s="18" t="s">
        <v>85</v>
      </c>
      <c r="H27" s="19">
        <v>1</v>
      </c>
      <c r="I27" s="16">
        <v>29</v>
      </c>
      <c r="J27" s="20"/>
    </row>
    <row r="28" spans="1:10" ht="15.75" customHeight="1">
      <c r="A28" s="13" t="s">
        <v>86</v>
      </c>
      <c r="B28" s="14"/>
      <c r="C28" s="15" t="s">
        <v>67</v>
      </c>
      <c r="D28" s="16" t="s">
        <v>13</v>
      </c>
      <c r="E28" s="16" t="s">
        <v>13</v>
      </c>
      <c r="F28" s="17"/>
      <c r="G28" s="18" t="s">
        <v>87</v>
      </c>
      <c r="H28" s="19">
        <v>1</v>
      </c>
      <c r="I28" s="16">
        <v>30</v>
      </c>
      <c r="J28" s="20"/>
    </row>
    <row r="29" spans="1:10" ht="15.75" customHeight="1">
      <c r="A29" s="13" t="s">
        <v>88</v>
      </c>
      <c r="B29" s="14"/>
      <c r="C29" s="15" t="s">
        <v>67</v>
      </c>
      <c r="D29" s="16" t="s">
        <v>13</v>
      </c>
      <c r="E29" s="16" t="s">
        <v>13</v>
      </c>
      <c r="F29" s="17"/>
      <c r="G29" s="18" t="s">
        <v>89</v>
      </c>
      <c r="H29" s="19">
        <v>1</v>
      </c>
      <c r="I29" s="16">
        <v>32</v>
      </c>
      <c r="J29" s="20"/>
    </row>
    <row r="30" spans="1:10" ht="15.75" customHeight="1">
      <c r="A30" s="13" t="s">
        <v>90</v>
      </c>
      <c r="B30" s="14"/>
      <c r="C30" s="15" t="s">
        <v>91</v>
      </c>
      <c r="D30" s="16" t="s">
        <v>13</v>
      </c>
      <c r="E30" s="16" t="s">
        <v>13</v>
      </c>
      <c r="F30" s="17"/>
      <c r="G30" s="18" t="s">
        <v>92</v>
      </c>
      <c r="H30" s="19">
        <v>1</v>
      </c>
      <c r="I30" s="16">
        <v>33</v>
      </c>
      <c r="J30" s="20"/>
    </row>
    <row r="31" spans="1:10" ht="15.75" customHeight="1">
      <c r="A31" s="13" t="s">
        <v>93</v>
      </c>
      <c r="B31" s="14"/>
      <c r="C31" s="15" t="s">
        <v>67</v>
      </c>
      <c r="D31" s="16" t="s">
        <v>13</v>
      </c>
      <c r="E31" s="16" t="s">
        <v>13</v>
      </c>
      <c r="F31" s="17"/>
      <c r="G31" s="18" t="s">
        <v>94</v>
      </c>
      <c r="H31" s="19">
        <v>1</v>
      </c>
      <c r="I31" s="16">
        <v>34</v>
      </c>
      <c r="J31" s="20"/>
    </row>
    <row r="32" spans="1:10" ht="15.75" customHeight="1">
      <c r="A32" s="13" t="s">
        <v>95</v>
      </c>
      <c r="B32" s="14"/>
      <c r="C32" s="15" t="s">
        <v>16</v>
      </c>
      <c r="D32" s="16" t="s">
        <v>13</v>
      </c>
      <c r="E32" s="16" t="s">
        <v>13</v>
      </c>
      <c r="F32" s="17" t="s">
        <v>96</v>
      </c>
      <c r="G32" s="18" t="s">
        <v>97</v>
      </c>
      <c r="H32" s="22">
        <v>8</v>
      </c>
      <c r="I32" s="16">
        <v>35</v>
      </c>
      <c r="J32" s="20"/>
    </row>
    <row r="33" spans="1:10" ht="15.75" customHeight="1">
      <c r="A33" s="13" t="s">
        <v>98</v>
      </c>
      <c r="B33" s="14"/>
      <c r="C33" s="15" t="s">
        <v>16</v>
      </c>
      <c r="D33" s="16" t="s">
        <v>13</v>
      </c>
      <c r="E33" s="16" t="s">
        <v>13</v>
      </c>
      <c r="F33" s="17"/>
      <c r="G33" s="18" t="s">
        <v>99</v>
      </c>
      <c r="H33" s="19">
        <v>1</v>
      </c>
      <c r="I33" s="16">
        <v>36</v>
      </c>
      <c r="J33" s="20"/>
    </row>
    <row r="34" spans="1:10" ht="15.75" customHeight="1">
      <c r="A34" s="13" t="s">
        <v>100</v>
      </c>
      <c r="B34" s="14"/>
      <c r="C34" s="15" t="s">
        <v>16</v>
      </c>
      <c r="D34" s="16" t="s">
        <v>13</v>
      </c>
      <c r="E34" s="16" t="s">
        <v>13</v>
      </c>
      <c r="F34" s="17"/>
      <c r="G34" s="18" t="s">
        <v>101</v>
      </c>
      <c r="H34" s="19">
        <v>1</v>
      </c>
      <c r="I34" s="16">
        <v>37</v>
      </c>
      <c r="J34" s="20"/>
    </row>
    <row r="35" spans="1:10" ht="15.75" customHeight="1">
      <c r="A35" s="13" t="s">
        <v>102</v>
      </c>
      <c r="B35" s="14" t="str">
        <f>LEFT(A35,10)</f>
        <v>unmodified</v>
      </c>
      <c r="C35" s="14" t="s">
        <v>16</v>
      </c>
      <c r="D35" s="23" t="s">
        <v>13</v>
      </c>
      <c r="E35" s="23" t="s">
        <v>13</v>
      </c>
      <c r="F35" s="14"/>
      <c r="G35" s="18" t="s">
        <v>103</v>
      </c>
      <c r="H35" s="24">
        <v>15</v>
      </c>
      <c r="I35" s="16">
        <v>38</v>
      </c>
      <c r="J35" s="20"/>
    </row>
    <row r="36" spans="1:10" ht="15.75" customHeight="1">
      <c r="A36" s="13" t="s">
        <v>104</v>
      </c>
      <c r="B36" s="14"/>
      <c r="C36" s="15" t="s">
        <v>16</v>
      </c>
      <c r="D36" s="16" t="s">
        <v>13</v>
      </c>
      <c r="E36" s="16" t="s">
        <v>13</v>
      </c>
      <c r="F36" s="17"/>
      <c r="G36" s="18" t="s">
        <v>105</v>
      </c>
      <c r="H36" s="19">
        <v>1</v>
      </c>
      <c r="I36" s="16">
        <v>39</v>
      </c>
      <c r="J36" s="20"/>
    </row>
    <row r="37" spans="1:10" ht="15.75" customHeight="1">
      <c r="A37" s="13" t="s">
        <v>106</v>
      </c>
      <c r="B37" s="14"/>
      <c r="C37" s="15" t="s">
        <v>16</v>
      </c>
      <c r="D37" s="16" t="s">
        <v>13</v>
      </c>
      <c r="E37" s="16" t="s">
        <v>13</v>
      </c>
      <c r="F37" s="17"/>
      <c r="G37" s="18" t="s">
        <v>107</v>
      </c>
      <c r="H37" s="19">
        <v>1</v>
      </c>
      <c r="I37" s="16">
        <v>40</v>
      </c>
      <c r="J37" s="20"/>
    </row>
    <row r="38" spans="1:10" ht="15.75" customHeight="1">
      <c r="A38" s="13" t="s">
        <v>108</v>
      </c>
      <c r="B38" s="14"/>
      <c r="C38" s="15" t="s">
        <v>16</v>
      </c>
      <c r="D38" s="16" t="s">
        <v>13</v>
      </c>
      <c r="E38" s="16" t="s">
        <v>13</v>
      </c>
      <c r="F38" s="17" t="s">
        <v>109</v>
      </c>
      <c r="G38" s="18" t="s">
        <v>110</v>
      </c>
      <c r="H38" s="19">
        <v>2</v>
      </c>
      <c r="I38" s="16">
        <v>41</v>
      </c>
      <c r="J38" s="20"/>
    </row>
    <row r="39" spans="1:10" ht="15.75" customHeight="1">
      <c r="A39" s="13" t="s">
        <v>111</v>
      </c>
      <c r="B39" s="14"/>
      <c r="C39" s="15" t="s">
        <v>16</v>
      </c>
      <c r="D39" s="16" t="s">
        <v>13</v>
      </c>
      <c r="E39" s="16" t="s">
        <v>13</v>
      </c>
      <c r="F39" s="17" t="s">
        <v>112</v>
      </c>
      <c r="G39" s="21" t="s">
        <v>113</v>
      </c>
      <c r="H39" s="19">
        <v>2</v>
      </c>
      <c r="I39" s="16">
        <v>42</v>
      </c>
      <c r="J39" s="20"/>
    </row>
    <row r="40" spans="1:10" ht="15.75" customHeight="1">
      <c r="A40" s="13" t="s">
        <v>114</v>
      </c>
      <c r="B40" s="14"/>
      <c r="C40" s="15" t="s">
        <v>16</v>
      </c>
      <c r="D40" s="16" t="s">
        <v>13</v>
      </c>
      <c r="E40" s="16" t="s">
        <v>13</v>
      </c>
      <c r="F40" s="17" t="s">
        <v>115</v>
      </c>
      <c r="G40" s="21" t="s">
        <v>116</v>
      </c>
      <c r="H40" s="19">
        <v>2</v>
      </c>
      <c r="I40" s="16">
        <v>43</v>
      </c>
      <c r="J40" s="20"/>
    </row>
    <row r="41" spans="1:10" ht="15.75" customHeight="1">
      <c r="A41" s="13" t="s">
        <v>117</v>
      </c>
      <c r="B41" s="14" t="s">
        <v>118</v>
      </c>
      <c r="C41" s="15" t="s">
        <v>16</v>
      </c>
      <c r="D41" s="16" t="s">
        <v>13</v>
      </c>
      <c r="E41" s="16" t="s">
        <v>13</v>
      </c>
      <c r="F41" s="25" t="s">
        <v>119</v>
      </c>
      <c r="G41" s="18" t="s">
        <v>120</v>
      </c>
      <c r="H41" s="19">
        <v>13</v>
      </c>
      <c r="I41" s="16">
        <v>44</v>
      </c>
      <c r="J41" s="20"/>
    </row>
    <row r="42" spans="1:10" ht="15.75" customHeight="1">
      <c r="A42" s="13" t="s">
        <v>121</v>
      </c>
      <c r="B42" s="14"/>
      <c r="C42" s="15" t="s">
        <v>16</v>
      </c>
      <c r="D42" s="16" t="s">
        <v>13</v>
      </c>
      <c r="E42" s="16" t="s">
        <v>13</v>
      </c>
      <c r="F42" s="17" t="s">
        <v>122</v>
      </c>
      <c r="G42" s="18" t="s">
        <v>123</v>
      </c>
      <c r="H42" s="19">
        <v>1</v>
      </c>
      <c r="I42" s="16">
        <v>45</v>
      </c>
      <c r="J42" s="20"/>
    </row>
    <row r="43" spans="1:10" ht="15.75" customHeight="1">
      <c r="A43" s="13" t="s">
        <v>124</v>
      </c>
      <c r="B43" s="14" t="s">
        <v>125</v>
      </c>
      <c r="C43" s="15" t="s">
        <v>16</v>
      </c>
      <c r="D43" s="16" t="s">
        <v>13</v>
      </c>
      <c r="E43" s="16" t="s">
        <v>13</v>
      </c>
      <c r="F43" s="17"/>
      <c r="G43" s="18" t="s">
        <v>126</v>
      </c>
      <c r="H43" s="19">
        <v>2</v>
      </c>
      <c r="I43" s="16">
        <v>46</v>
      </c>
      <c r="J43" s="20"/>
    </row>
    <row r="44" spans="1:10" ht="15.75" customHeight="1">
      <c r="A44" s="13" t="s">
        <v>127</v>
      </c>
      <c r="B44" s="14"/>
      <c r="C44" s="15" t="s">
        <v>16</v>
      </c>
      <c r="D44" s="16" t="s">
        <v>13</v>
      </c>
      <c r="E44" s="16" t="s">
        <v>13</v>
      </c>
      <c r="F44" s="17" t="s">
        <v>128</v>
      </c>
      <c r="G44" s="18" t="s">
        <v>129</v>
      </c>
      <c r="H44" s="19">
        <v>3</v>
      </c>
      <c r="I44" s="16">
        <v>47</v>
      </c>
      <c r="J44" s="20"/>
    </row>
    <row r="45" spans="1:10" ht="15.75" customHeight="1">
      <c r="A45" s="13" t="s">
        <v>130</v>
      </c>
      <c r="B45" s="14"/>
      <c r="C45" s="15" t="s">
        <v>16</v>
      </c>
      <c r="D45" s="16" t="s">
        <v>13</v>
      </c>
      <c r="E45" s="16" t="s">
        <v>13</v>
      </c>
      <c r="F45" s="17" t="s">
        <v>131</v>
      </c>
      <c r="G45" s="18" t="s">
        <v>132</v>
      </c>
      <c r="H45" s="19">
        <v>2</v>
      </c>
      <c r="I45" s="16">
        <v>48</v>
      </c>
      <c r="J45" s="20"/>
    </row>
    <row r="46" spans="1:10" ht="15.75" customHeight="1">
      <c r="A46" s="13" t="s">
        <v>133</v>
      </c>
      <c r="B46" s="14" t="s">
        <v>134</v>
      </c>
      <c r="C46" s="15" t="s">
        <v>16</v>
      </c>
      <c r="D46" s="16" t="s">
        <v>13</v>
      </c>
      <c r="E46" s="16" t="s">
        <v>13</v>
      </c>
      <c r="F46" s="17" t="s">
        <v>135</v>
      </c>
      <c r="G46" s="18" t="s">
        <v>136</v>
      </c>
      <c r="H46" s="19">
        <v>2</v>
      </c>
      <c r="I46" s="16">
        <v>49</v>
      </c>
      <c r="J46" s="20"/>
    </row>
    <row r="47" spans="1:10" ht="15.75" customHeight="1">
      <c r="A47" s="13" t="s">
        <v>137</v>
      </c>
      <c r="B47" s="14" t="s">
        <v>138</v>
      </c>
      <c r="C47" s="15" t="s">
        <v>16</v>
      </c>
      <c r="D47" s="16" t="s">
        <v>13</v>
      </c>
      <c r="E47" s="16" t="s">
        <v>13</v>
      </c>
      <c r="F47" s="17" t="s">
        <v>139</v>
      </c>
      <c r="G47" s="18" t="s">
        <v>140</v>
      </c>
      <c r="H47" s="19">
        <v>2</v>
      </c>
      <c r="I47" s="16">
        <v>50</v>
      </c>
      <c r="J47" s="20"/>
    </row>
    <row r="48" spans="1:10" ht="15.75" customHeight="1">
      <c r="A48" s="13" t="s">
        <v>141</v>
      </c>
      <c r="B48" s="14" t="s">
        <v>142</v>
      </c>
      <c r="C48" s="15" t="s">
        <v>16</v>
      </c>
      <c r="D48" s="16" t="s">
        <v>13</v>
      </c>
      <c r="E48" s="16" t="s">
        <v>13</v>
      </c>
      <c r="F48" s="17" t="s">
        <v>143</v>
      </c>
      <c r="G48" s="18" t="s">
        <v>144</v>
      </c>
      <c r="H48" s="19">
        <v>2</v>
      </c>
      <c r="I48" s="16">
        <v>51</v>
      </c>
      <c r="J48" s="20"/>
    </row>
    <row r="49" spans="1:10" ht="15.75" customHeight="1">
      <c r="A49" s="13" t="s">
        <v>145</v>
      </c>
      <c r="B49" s="14" t="s">
        <v>146</v>
      </c>
      <c r="C49" s="15" t="s">
        <v>16</v>
      </c>
      <c r="D49" s="16" t="s">
        <v>13</v>
      </c>
      <c r="E49" s="16" t="s">
        <v>13</v>
      </c>
      <c r="F49" s="17" t="s">
        <v>147</v>
      </c>
      <c r="G49" s="18" t="s">
        <v>148</v>
      </c>
      <c r="H49" s="19">
        <v>2</v>
      </c>
      <c r="I49" s="16">
        <v>52</v>
      </c>
      <c r="J49" s="20"/>
    </row>
    <row r="50" spans="1:10" ht="15.75" customHeight="1">
      <c r="A50" s="13" t="s">
        <v>149</v>
      </c>
      <c r="B50" s="14"/>
      <c r="C50" s="15" t="s">
        <v>16</v>
      </c>
      <c r="D50" s="16" t="s">
        <v>13</v>
      </c>
      <c r="E50" s="16" t="s">
        <v>13</v>
      </c>
      <c r="F50" s="17" t="s">
        <v>150</v>
      </c>
      <c r="G50" s="18" t="s">
        <v>151</v>
      </c>
      <c r="H50" s="19">
        <v>2</v>
      </c>
      <c r="I50" s="16">
        <v>53</v>
      </c>
      <c r="J50" s="20"/>
    </row>
    <row r="51" spans="1:10" ht="15.75" customHeight="1">
      <c r="A51" s="13" t="s">
        <v>152</v>
      </c>
      <c r="B51" s="14"/>
      <c r="C51" s="15" t="s">
        <v>16</v>
      </c>
      <c r="D51" s="16" t="s">
        <v>13</v>
      </c>
      <c r="E51" s="16" t="s">
        <v>13</v>
      </c>
      <c r="F51" s="17" t="s">
        <v>153</v>
      </c>
      <c r="G51" s="18" t="s">
        <v>154</v>
      </c>
      <c r="H51" s="19">
        <v>2</v>
      </c>
      <c r="I51" s="16">
        <v>54</v>
      </c>
      <c r="J51" s="20"/>
    </row>
    <row r="52" spans="1:10" ht="15.75" customHeight="1">
      <c r="A52" s="13" t="s">
        <v>155</v>
      </c>
      <c r="B52" s="14" t="s">
        <v>156</v>
      </c>
      <c r="C52" s="15" t="s">
        <v>16</v>
      </c>
      <c r="D52" s="16" t="s">
        <v>13</v>
      </c>
      <c r="E52" s="16" t="s">
        <v>13</v>
      </c>
      <c r="F52" s="17" t="s">
        <v>157</v>
      </c>
      <c r="G52" s="18" t="s">
        <v>158</v>
      </c>
      <c r="H52" s="19">
        <v>2</v>
      </c>
      <c r="I52" s="16">
        <v>55</v>
      </c>
      <c r="J52" s="20"/>
    </row>
    <row r="53" spans="1:10" ht="15.75" customHeight="1">
      <c r="A53" s="13" t="s">
        <v>159</v>
      </c>
      <c r="B53" s="14"/>
      <c r="C53" s="15" t="s">
        <v>16</v>
      </c>
      <c r="D53" s="16" t="s">
        <v>13</v>
      </c>
      <c r="E53" s="16" t="s">
        <v>13</v>
      </c>
      <c r="F53" s="17" t="s">
        <v>160</v>
      </c>
      <c r="G53" s="18" t="s">
        <v>161</v>
      </c>
      <c r="H53" s="19">
        <v>2</v>
      </c>
      <c r="I53" s="16">
        <v>56</v>
      </c>
      <c r="J53" s="20"/>
    </row>
    <row r="54" spans="1:10" ht="15.75" customHeight="1">
      <c r="A54" s="13" t="s">
        <v>162</v>
      </c>
      <c r="B54" s="14"/>
      <c r="C54" s="15" t="s">
        <v>16</v>
      </c>
      <c r="D54" s="16" t="s">
        <v>13</v>
      </c>
      <c r="E54" s="16" t="s">
        <v>13</v>
      </c>
      <c r="F54" s="17" t="s">
        <v>163</v>
      </c>
      <c r="G54" s="18" t="s">
        <v>164</v>
      </c>
      <c r="H54" s="19">
        <v>7</v>
      </c>
      <c r="I54" s="16">
        <v>57</v>
      </c>
      <c r="J54" s="20"/>
    </row>
    <row r="55" spans="1:10" ht="15.75" customHeight="1">
      <c r="A55" s="13" t="s">
        <v>165</v>
      </c>
      <c r="B55" s="14" t="s">
        <v>166</v>
      </c>
      <c r="C55" s="15" t="s">
        <v>16</v>
      </c>
      <c r="D55" s="16" t="s">
        <v>13</v>
      </c>
      <c r="E55" s="16" t="s">
        <v>13</v>
      </c>
      <c r="F55" s="17" t="s">
        <v>167</v>
      </c>
      <c r="G55" s="18" t="s">
        <v>168</v>
      </c>
      <c r="H55" s="19">
        <v>2</v>
      </c>
      <c r="I55" s="16">
        <v>58</v>
      </c>
      <c r="J55" s="20"/>
    </row>
    <row r="56" spans="1:10" ht="15.75" customHeight="1">
      <c r="A56" s="13" t="s">
        <v>169</v>
      </c>
      <c r="B56" s="14" t="str">
        <f>LEFT(A56,10)</f>
        <v>original_m</v>
      </c>
      <c r="C56" s="14" t="s">
        <v>170</v>
      </c>
      <c r="D56" s="23" t="s">
        <v>13</v>
      </c>
      <c r="E56" s="23" t="s">
        <v>13</v>
      </c>
      <c r="F56" s="14"/>
      <c r="G56" s="18" t="s">
        <v>171</v>
      </c>
      <c r="H56" s="24">
        <v>15</v>
      </c>
      <c r="I56" s="16">
        <v>59</v>
      </c>
      <c r="J56" s="20"/>
    </row>
    <row r="57" spans="1:10" ht="15.75" customHeight="1">
      <c r="A57" s="13" t="s">
        <v>172</v>
      </c>
      <c r="B57" s="14"/>
      <c r="C57" s="15" t="s">
        <v>16</v>
      </c>
      <c r="D57" s="16" t="s">
        <v>13</v>
      </c>
      <c r="E57" s="16" t="s">
        <v>13</v>
      </c>
      <c r="F57" s="17" t="s">
        <v>173</v>
      </c>
      <c r="G57" s="18" t="s">
        <v>174</v>
      </c>
      <c r="H57" s="19">
        <v>1</v>
      </c>
      <c r="I57" s="16">
        <v>60</v>
      </c>
      <c r="J57" s="20"/>
    </row>
    <row r="58" spans="1:10" ht="15.75" customHeight="1">
      <c r="A58" s="13" t="s">
        <v>175</v>
      </c>
      <c r="B58" s="14"/>
      <c r="C58" s="15" t="s">
        <v>16</v>
      </c>
      <c r="D58" s="16" t="s">
        <v>13</v>
      </c>
      <c r="E58" s="16" t="s">
        <v>13</v>
      </c>
      <c r="F58" s="17" t="s">
        <v>176</v>
      </c>
      <c r="G58" s="18" t="s">
        <v>177</v>
      </c>
      <c r="H58" s="19">
        <v>2</v>
      </c>
      <c r="I58" s="16">
        <v>61</v>
      </c>
      <c r="J58" s="20"/>
    </row>
    <row r="59" spans="1:10" ht="15.75" customHeight="1">
      <c r="A59" s="13" t="s">
        <v>178</v>
      </c>
      <c r="B59" s="14"/>
      <c r="C59" s="15" t="s">
        <v>16</v>
      </c>
      <c r="D59" s="16" t="s">
        <v>13</v>
      </c>
      <c r="E59" s="16" t="s">
        <v>13</v>
      </c>
      <c r="F59" s="17" t="s">
        <v>179</v>
      </c>
      <c r="G59" s="18" t="s">
        <v>180</v>
      </c>
      <c r="H59" s="19">
        <v>1</v>
      </c>
      <c r="I59" s="16">
        <v>62</v>
      </c>
      <c r="J59" s="20"/>
    </row>
    <row r="60" spans="1:10" ht="15.75" customHeight="1">
      <c r="A60" s="13" t="s">
        <v>181</v>
      </c>
      <c r="B60" s="14"/>
      <c r="C60" s="15" t="s">
        <v>16</v>
      </c>
      <c r="D60" s="16" t="s">
        <v>13</v>
      </c>
      <c r="E60" s="16" t="s">
        <v>13</v>
      </c>
      <c r="F60" s="17" t="s">
        <v>182</v>
      </c>
      <c r="G60" s="18" t="s">
        <v>183</v>
      </c>
      <c r="H60" s="19">
        <v>1</v>
      </c>
      <c r="I60" s="16">
        <v>63</v>
      </c>
      <c r="J60" s="20"/>
    </row>
    <row r="61" spans="1:10" ht="15.75" customHeight="1">
      <c r="A61" s="13" t="s">
        <v>184</v>
      </c>
      <c r="B61" s="14"/>
      <c r="C61" s="15" t="s">
        <v>16</v>
      </c>
      <c r="D61" s="16" t="s">
        <v>13</v>
      </c>
      <c r="E61" s="16" t="s">
        <v>13</v>
      </c>
      <c r="F61" s="17" t="s">
        <v>185</v>
      </c>
      <c r="G61" s="18" t="s">
        <v>186</v>
      </c>
      <c r="H61" s="19">
        <v>1</v>
      </c>
      <c r="I61" s="16">
        <v>64</v>
      </c>
      <c r="J61" s="20"/>
    </row>
    <row r="62" spans="1:10" ht="15.75" customHeight="1">
      <c r="A62" s="13" t="s">
        <v>187</v>
      </c>
      <c r="B62" s="14"/>
      <c r="C62" s="15" t="s">
        <v>16</v>
      </c>
      <c r="D62" s="16" t="s">
        <v>13</v>
      </c>
      <c r="E62" s="16" t="s">
        <v>13</v>
      </c>
      <c r="F62" s="17" t="s">
        <v>188</v>
      </c>
      <c r="G62" s="18" t="s">
        <v>189</v>
      </c>
      <c r="H62" s="19">
        <v>1</v>
      </c>
      <c r="I62" s="16">
        <v>65</v>
      </c>
      <c r="J62" s="20"/>
    </row>
    <row r="63" spans="1:10" ht="15.75" customHeight="1">
      <c r="A63" s="13" t="s">
        <v>190</v>
      </c>
      <c r="B63" s="14"/>
      <c r="C63" s="15" t="s">
        <v>16</v>
      </c>
      <c r="D63" s="16" t="s">
        <v>13</v>
      </c>
      <c r="E63" s="16" t="s">
        <v>13</v>
      </c>
      <c r="F63" s="17" t="s">
        <v>147</v>
      </c>
      <c r="G63" s="18" t="s">
        <v>191</v>
      </c>
      <c r="H63" s="19">
        <v>1</v>
      </c>
      <c r="I63" s="16">
        <v>66</v>
      </c>
      <c r="J63" s="20"/>
    </row>
    <row r="64" spans="1:10" ht="15.75" customHeight="1">
      <c r="A64" s="13" t="s">
        <v>192</v>
      </c>
      <c r="B64" s="14"/>
      <c r="C64" s="15" t="s">
        <v>16</v>
      </c>
      <c r="D64" s="16" t="s">
        <v>13</v>
      </c>
      <c r="E64" s="16" t="s">
        <v>13</v>
      </c>
      <c r="F64" s="26" t="s">
        <v>193</v>
      </c>
      <c r="G64" s="18" t="s">
        <v>194</v>
      </c>
      <c r="H64" s="19">
        <v>1</v>
      </c>
      <c r="I64" s="16">
        <v>67</v>
      </c>
      <c r="J64" s="20"/>
    </row>
    <row r="65" spans="1:10" ht="15.75" customHeight="1">
      <c r="A65" s="13" t="s">
        <v>195</v>
      </c>
      <c r="B65" s="14"/>
      <c r="C65" s="15" t="s">
        <v>16</v>
      </c>
      <c r="D65" s="16" t="s">
        <v>13</v>
      </c>
      <c r="E65" s="16" t="s">
        <v>13</v>
      </c>
      <c r="F65" s="17" t="s">
        <v>196</v>
      </c>
      <c r="G65" s="18" t="s">
        <v>197</v>
      </c>
      <c r="H65" s="19">
        <v>1</v>
      </c>
      <c r="I65" s="16">
        <v>68</v>
      </c>
      <c r="J65" s="20"/>
    </row>
    <row r="66" spans="1:10" ht="15.75" customHeight="1">
      <c r="A66" s="13" t="s">
        <v>198</v>
      </c>
      <c r="B66" s="14" t="s">
        <v>199</v>
      </c>
      <c r="C66" s="15" t="s">
        <v>16</v>
      </c>
      <c r="D66" s="16" t="s">
        <v>13</v>
      </c>
      <c r="E66" s="16" t="s">
        <v>13</v>
      </c>
      <c r="F66" s="17" t="s">
        <v>200</v>
      </c>
      <c r="G66" s="18" t="s">
        <v>201</v>
      </c>
      <c r="H66" s="19">
        <v>2</v>
      </c>
      <c r="I66" s="16">
        <v>69</v>
      </c>
      <c r="J66" s="20"/>
    </row>
    <row r="67" spans="1:10" ht="15.75" customHeight="1">
      <c r="A67" s="13" t="s">
        <v>202</v>
      </c>
      <c r="B67" s="14"/>
      <c r="C67" s="15" t="s">
        <v>16</v>
      </c>
      <c r="D67" s="16" t="s">
        <v>13</v>
      </c>
      <c r="E67" s="16" t="s">
        <v>13</v>
      </c>
      <c r="F67" s="17" t="s">
        <v>203</v>
      </c>
      <c r="G67" s="18" t="s">
        <v>204</v>
      </c>
      <c r="H67" s="19">
        <v>1</v>
      </c>
      <c r="I67" s="16">
        <v>70</v>
      </c>
      <c r="J67" s="20"/>
    </row>
    <row r="68" spans="1:10" ht="15.75" customHeight="1">
      <c r="A68" s="13" t="s">
        <v>205</v>
      </c>
      <c r="B68" s="14"/>
      <c r="C68" s="15" t="s">
        <v>16</v>
      </c>
      <c r="D68" s="16" t="s">
        <v>13</v>
      </c>
      <c r="E68" s="16" t="s">
        <v>13</v>
      </c>
      <c r="F68" s="17" t="s">
        <v>206</v>
      </c>
      <c r="G68" s="18" t="s">
        <v>207</v>
      </c>
      <c r="H68" s="19">
        <v>1</v>
      </c>
      <c r="I68" s="16">
        <v>71</v>
      </c>
      <c r="J68" s="20"/>
    </row>
    <row r="69" spans="1:10" ht="15.75" customHeight="1">
      <c r="A69" s="13" t="s">
        <v>208</v>
      </c>
      <c r="B69" s="14"/>
      <c r="C69" s="15" t="s">
        <v>16</v>
      </c>
      <c r="D69" s="16" t="s">
        <v>13</v>
      </c>
      <c r="E69" s="16" t="s">
        <v>13</v>
      </c>
      <c r="F69" s="17" t="s">
        <v>157</v>
      </c>
      <c r="G69" s="18" t="s">
        <v>209</v>
      </c>
      <c r="H69" s="19">
        <v>1</v>
      </c>
      <c r="I69" s="16">
        <v>72</v>
      </c>
      <c r="J69" s="20"/>
    </row>
    <row r="70" spans="1:10" ht="15.75" customHeight="1">
      <c r="A70" s="13" t="s">
        <v>210</v>
      </c>
      <c r="B70" s="14"/>
      <c r="C70" s="15" t="s">
        <v>16</v>
      </c>
      <c r="D70" s="16" t="s">
        <v>13</v>
      </c>
      <c r="E70" s="16" t="s">
        <v>13</v>
      </c>
      <c r="F70" s="17" t="s">
        <v>211</v>
      </c>
      <c r="G70" s="18" t="s">
        <v>212</v>
      </c>
      <c r="H70" s="19">
        <v>1</v>
      </c>
      <c r="I70" s="16">
        <v>73</v>
      </c>
      <c r="J70" s="20"/>
    </row>
    <row r="71" spans="1:10" ht="15.75" customHeight="1">
      <c r="A71" s="13" t="s">
        <v>213</v>
      </c>
      <c r="B71" s="14"/>
      <c r="C71" s="15" t="s">
        <v>16</v>
      </c>
      <c r="D71" s="16" t="s">
        <v>13</v>
      </c>
      <c r="E71" s="16" t="s">
        <v>13</v>
      </c>
      <c r="F71" s="17" t="s">
        <v>214</v>
      </c>
      <c r="G71" s="18" t="s">
        <v>215</v>
      </c>
      <c r="H71" s="19">
        <v>13</v>
      </c>
      <c r="I71" s="16">
        <v>74</v>
      </c>
      <c r="J71" s="20"/>
    </row>
    <row r="72" spans="1:10" ht="15.75" customHeight="1">
      <c r="A72" s="13" t="s">
        <v>216</v>
      </c>
      <c r="B72" s="14" t="s">
        <v>217</v>
      </c>
      <c r="C72" s="15" t="s">
        <v>16</v>
      </c>
      <c r="D72" s="16" t="s">
        <v>13</v>
      </c>
      <c r="E72" s="16" t="s">
        <v>13</v>
      </c>
      <c r="F72" s="17" t="s">
        <v>167</v>
      </c>
      <c r="G72" s="18" t="s">
        <v>218</v>
      </c>
      <c r="H72" s="19">
        <v>2</v>
      </c>
      <c r="I72" s="16">
        <v>75</v>
      </c>
      <c r="J72" s="20"/>
    </row>
    <row r="73" spans="1:10" ht="15.75" customHeight="1">
      <c r="A73" s="13" t="s">
        <v>219</v>
      </c>
      <c r="B73" s="14" t="s">
        <v>220</v>
      </c>
      <c r="C73" s="15" t="s">
        <v>16</v>
      </c>
      <c r="D73" s="16" t="s">
        <v>13</v>
      </c>
      <c r="E73" s="16" t="s">
        <v>13</v>
      </c>
      <c r="F73" s="17" t="s">
        <v>221</v>
      </c>
      <c r="G73" s="18" t="s">
        <v>222</v>
      </c>
      <c r="H73" s="19">
        <v>2</v>
      </c>
      <c r="I73" s="16">
        <v>77</v>
      </c>
      <c r="J73" s="20"/>
    </row>
    <row r="74" spans="1:10" ht="15.75" customHeight="1">
      <c r="A74" s="13" t="s">
        <v>223</v>
      </c>
      <c r="B74" s="14" t="s">
        <v>224</v>
      </c>
      <c r="C74" s="15" t="s">
        <v>16</v>
      </c>
      <c r="D74" s="16" t="s">
        <v>13</v>
      </c>
      <c r="E74" s="16" t="s">
        <v>13</v>
      </c>
      <c r="F74" s="17" t="s">
        <v>225</v>
      </c>
      <c r="G74" s="18" t="s">
        <v>226</v>
      </c>
      <c r="H74" s="19">
        <v>2</v>
      </c>
      <c r="I74" s="16">
        <v>78</v>
      </c>
      <c r="J74" s="20"/>
    </row>
    <row r="75" spans="1:10" ht="15.75" customHeight="1">
      <c r="A75" s="13" t="s">
        <v>227</v>
      </c>
      <c r="B75" s="14"/>
      <c r="C75" s="15" t="s">
        <v>16</v>
      </c>
      <c r="D75" s="16" t="s">
        <v>13</v>
      </c>
      <c r="E75" s="16" t="s">
        <v>13</v>
      </c>
      <c r="F75" s="17"/>
      <c r="G75" s="18" t="s">
        <v>228</v>
      </c>
      <c r="H75" s="19">
        <v>1</v>
      </c>
      <c r="I75" s="16">
        <v>79</v>
      </c>
      <c r="J75" s="20"/>
    </row>
    <row r="76" spans="1:10" ht="15.75" customHeight="1">
      <c r="A76" s="13" t="s">
        <v>229</v>
      </c>
      <c r="B76" s="14"/>
      <c r="C76" s="15" t="s">
        <v>16</v>
      </c>
      <c r="D76" s="16" t="s">
        <v>13</v>
      </c>
      <c r="E76" s="16" t="s">
        <v>13</v>
      </c>
      <c r="F76" s="17" t="s">
        <v>230</v>
      </c>
      <c r="G76" s="18" t="s">
        <v>231</v>
      </c>
      <c r="H76" s="19">
        <v>2</v>
      </c>
      <c r="I76" s="16">
        <v>80</v>
      </c>
      <c r="J76" s="20"/>
    </row>
    <row r="77" spans="1:10" ht="15.75" customHeight="1">
      <c r="A77" s="13" t="s">
        <v>232</v>
      </c>
      <c r="B77" s="14"/>
      <c r="C77" s="15" t="s">
        <v>16</v>
      </c>
      <c r="D77" s="16" t="s">
        <v>13</v>
      </c>
      <c r="E77" s="16" t="s">
        <v>13</v>
      </c>
      <c r="F77" s="17" t="s">
        <v>233</v>
      </c>
      <c r="G77" s="18" t="s">
        <v>234</v>
      </c>
      <c r="H77" s="19">
        <v>2</v>
      </c>
      <c r="I77" s="16">
        <v>81</v>
      </c>
      <c r="J77" s="20"/>
    </row>
    <row r="78" spans="1:10" ht="15.75" customHeight="1">
      <c r="A78" s="13" t="s">
        <v>235</v>
      </c>
      <c r="B78" s="14"/>
      <c r="C78" s="15" t="s">
        <v>16</v>
      </c>
      <c r="D78" s="16" t="s">
        <v>13</v>
      </c>
      <c r="E78" s="16" t="s">
        <v>13</v>
      </c>
      <c r="F78" s="17" t="s">
        <v>236</v>
      </c>
      <c r="G78" s="18" t="s">
        <v>237</v>
      </c>
      <c r="H78" s="19">
        <v>2</v>
      </c>
      <c r="I78" s="16">
        <v>82</v>
      </c>
      <c r="J78" s="20"/>
    </row>
    <row r="79" spans="1:10" ht="15.75" customHeight="1">
      <c r="A79" s="13" t="s">
        <v>238</v>
      </c>
      <c r="B79" s="14"/>
      <c r="C79" s="15" t="s">
        <v>16</v>
      </c>
      <c r="D79" s="16" t="s">
        <v>13</v>
      </c>
      <c r="E79" s="16" t="s">
        <v>13</v>
      </c>
      <c r="F79" s="17"/>
      <c r="G79" s="18" t="s">
        <v>239</v>
      </c>
      <c r="H79" s="19">
        <v>2</v>
      </c>
      <c r="I79" s="16">
        <v>83</v>
      </c>
      <c r="J79" s="20"/>
    </row>
    <row r="80" spans="1:10" ht="15.75" customHeight="1">
      <c r="A80" s="13" t="s">
        <v>240</v>
      </c>
      <c r="B80" s="14"/>
      <c r="C80" s="15" t="s">
        <v>16</v>
      </c>
      <c r="D80" s="16" t="s">
        <v>13</v>
      </c>
      <c r="E80" s="16" t="s">
        <v>13</v>
      </c>
      <c r="F80" s="17"/>
      <c r="G80" s="18" t="s">
        <v>241</v>
      </c>
      <c r="H80" s="19">
        <v>2</v>
      </c>
      <c r="I80" s="16">
        <v>84</v>
      </c>
      <c r="J80" s="20"/>
    </row>
    <row r="81" spans="1:10" ht="15.75" customHeight="1">
      <c r="A81" s="13" t="s">
        <v>242</v>
      </c>
      <c r="B81" s="14" t="s">
        <v>243</v>
      </c>
      <c r="C81" s="15" t="s">
        <v>16</v>
      </c>
      <c r="D81" s="16" t="s">
        <v>13</v>
      </c>
      <c r="E81" s="16" t="s">
        <v>13</v>
      </c>
      <c r="F81" s="17" t="s">
        <v>244</v>
      </c>
      <c r="G81" s="18" t="s">
        <v>245</v>
      </c>
      <c r="H81" s="19">
        <v>2</v>
      </c>
      <c r="I81" s="16">
        <v>85</v>
      </c>
      <c r="J81" s="20"/>
    </row>
    <row r="82" spans="1:10" ht="15.75" customHeight="1">
      <c r="A82" s="13" t="s">
        <v>246</v>
      </c>
      <c r="B82" s="14" t="s">
        <v>247</v>
      </c>
      <c r="C82" s="14" t="s">
        <v>16</v>
      </c>
      <c r="D82" s="23" t="s">
        <v>13</v>
      </c>
      <c r="E82" s="23" t="s">
        <v>13</v>
      </c>
      <c r="F82" s="14"/>
      <c r="G82" s="18" t="s">
        <v>248</v>
      </c>
      <c r="H82" s="24">
        <v>15</v>
      </c>
      <c r="I82" s="16">
        <v>86</v>
      </c>
      <c r="J82" s="20"/>
    </row>
    <row r="83" spans="1:10" ht="15.75" customHeight="1">
      <c r="A83" s="13" t="s">
        <v>249</v>
      </c>
      <c r="B83" s="14" t="s">
        <v>250</v>
      </c>
      <c r="C83" s="15" t="s">
        <v>16</v>
      </c>
      <c r="D83" s="16" t="s">
        <v>13</v>
      </c>
      <c r="E83" s="16" t="s">
        <v>13</v>
      </c>
      <c r="F83" s="17"/>
      <c r="G83" s="18" t="s">
        <v>251</v>
      </c>
      <c r="H83" s="19">
        <v>1</v>
      </c>
      <c r="I83" s="16">
        <v>87</v>
      </c>
      <c r="J83" s="20"/>
    </row>
    <row r="84" spans="1:10" ht="42">
      <c r="A84" s="13" t="s">
        <v>252</v>
      </c>
      <c r="B84" s="14"/>
      <c r="C84" s="15" t="s">
        <v>16</v>
      </c>
      <c r="D84" s="16" t="s">
        <v>13</v>
      </c>
      <c r="E84" s="16" t="s">
        <v>13</v>
      </c>
      <c r="F84" s="17" t="s">
        <v>253</v>
      </c>
      <c r="G84" s="18" t="s">
        <v>254</v>
      </c>
      <c r="H84" s="22">
        <v>8</v>
      </c>
      <c r="I84" s="16">
        <v>88</v>
      </c>
      <c r="J84" s="20"/>
    </row>
    <row r="85" spans="1:10" ht="42">
      <c r="A85" s="13" t="s">
        <v>255</v>
      </c>
      <c r="B85" s="14"/>
      <c r="C85" s="15" t="s">
        <v>16</v>
      </c>
      <c r="D85" s="16" t="s">
        <v>13</v>
      </c>
      <c r="E85" s="16" t="s">
        <v>13</v>
      </c>
      <c r="F85" s="17" t="s">
        <v>256</v>
      </c>
      <c r="G85" s="18" t="s">
        <v>257</v>
      </c>
      <c r="H85" s="22">
        <v>8</v>
      </c>
      <c r="I85" s="16">
        <v>89</v>
      </c>
      <c r="J85" s="20"/>
    </row>
    <row r="86" spans="1:10" ht="14">
      <c r="A86" s="13" t="s">
        <v>258</v>
      </c>
      <c r="B86" s="14"/>
      <c r="C86" s="15" t="s">
        <v>16</v>
      </c>
      <c r="D86" s="16" t="s">
        <v>13</v>
      </c>
      <c r="E86" s="16" t="s">
        <v>13</v>
      </c>
      <c r="F86" s="17" t="s">
        <v>259</v>
      </c>
      <c r="G86" s="18" t="s">
        <v>260</v>
      </c>
      <c r="H86" s="19">
        <v>4</v>
      </c>
      <c r="I86" s="16">
        <v>95</v>
      </c>
      <c r="J86" s="20"/>
    </row>
    <row r="87" spans="1:10" ht="42">
      <c r="A87" s="13" t="s">
        <v>261</v>
      </c>
      <c r="B87" s="14"/>
      <c r="C87" s="15" t="s">
        <v>16</v>
      </c>
      <c r="D87" s="16" t="s">
        <v>13</v>
      </c>
      <c r="E87" s="16" t="s">
        <v>13</v>
      </c>
      <c r="F87" s="17" t="s">
        <v>262</v>
      </c>
      <c r="G87" s="27" t="s">
        <v>263</v>
      </c>
      <c r="H87" s="19">
        <v>4</v>
      </c>
      <c r="I87" s="16">
        <v>96</v>
      </c>
      <c r="J87" s="20"/>
    </row>
    <row r="88" spans="1:10" ht="14">
      <c r="A88" s="13" t="s">
        <v>264</v>
      </c>
      <c r="B88" s="14" t="s">
        <v>265</v>
      </c>
      <c r="C88" s="15" t="s">
        <v>16</v>
      </c>
      <c r="D88" s="16" t="s">
        <v>13</v>
      </c>
      <c r="E88" s="16" t="s">
        <v>13</v>
      </c>
      <c r="F88" s="17" t="s">
        <v>266</v>
      </c>
      <c r="G88" s="18" t="s">
        <v>267</v>
      </c>
      <c r="H88" s="19">
        <v>2</v>
      </c>
      <c r="I88" s="16">
        <v>97</v>
      </c>
      <c r="J88" s="20"/>
    </row>
    <row r="89" spans="1:10" ht="14">
      <c r="A89" s="13" t="s">
        <v>268</v>
      </c>
      <c r="B89" s="14" t="s">
        <v>269</v>
      </c>
      <c r="C89" s="15" t="s">
        <v>16</v>
      </c>
      <c r="D89" s="16" t="s">
        <v>13</v>
      </c>
      <c r="E89" s="16" t="s">
        <v>13</v>
      </c>
      <c r="F89" s="17" t="s">
        <v>270</v>
      </c>
      <c r="G89" s="18" t="s">
        <v>271</v>
      </c>
      <c r="H89" s="19">
        <v>2</v>
      </c>
      <c r="I89" s="16">
        <v>98</v>
      </c>
      <c r="J89" s="20"/>
    </row>
    <row r="90" spans="1:10" ht="14">
      <c r="A90" s="13" t="s">
        <v>272</v>
      </c>
      <c r="B90" s="14" t="s">
        <v>273</v>
      </c>
      <c r="C90" s="15" t="s">
        <v>16</v>
      </c>
      <c r="D90" s="16" t="s">
        <v>13</v>
      </c>
      <c r="E90" s="16" t="s">
        <v>13</v>
      </c>
      <c r="F90" s="17" t="s">
        <v>274</v>
      </c>
      <c r="G90" s="18" t="s">
        <v>275</v>
      </c>
      <c r="H90" s="19">
        <v>2</v>
      </c>
      <c r="I90" s="16">
        <v>99</v>
      </c>
      <c r="J90" s="20"/>
    </row>
    <row r="91" spans="1:10" ht="14">
      <c r="A91" s="13" t="s">
        <v>276</v>
      </c>
      <c r="B91" s="14" t="s">
        <v>277</v>
      </c>
      <c r="C91" s="15" t="s">
        <v>16</v>
      </c>
      <c r="D91" s="16" t="s">
        <v>13</v>
      </c>
      <c r="E91" s="16" t="s">
        <v>13</v>
      </c>
      <c r="F91" s="28" t="s">
        <v>278</v>
      </c>
      <c r="G91" s="18" t="s">
        <v>279</v>
      </c>
      <c r="H91" s="19">
        <v>13</v>
      </c>
      <c r="I91" s="16">
        <v>100</v>
      </c>
      <c r="J91" s="20"/>
    </row>
    <row r="92" spans="1:10" ht="42">
      <c r="A92" s="13" t="s">
        <v>280</v>
      </c>
      <c r="B92" s="14" t="s">
        <v>281</v>
      </c>
      <c r="C92" s="15" t="s">
        <v>91</v>
      </c>
      <c r="D92" s="16" t="s">
        <v>13</v>
      </c>
      <c r="E92" s="16" t="s">
        <v>13</v>
      </c>
      <c r="F92" s="17" t="s">
        <v>282</v>
      </c>
      <c r="G92" s="18" t="s">
        <v>283</v>
      </c>
      <c r="H92" s="19">
        <v>10</v>
      </c>
      <c r="I92" s="16">
        <v>104</v>
      </c>
      <c r="J92" s="20"/>
    </row>
    <row r="93" spans="1:10" ht="14">
      <c r="A93" s="13" t="s">
        <v>284</v>
      </c>
      <c r="B93" s="14"/>
      <c r="C93" s="15" t="s">
        <v>16</v>
      </c>
      <c r="D93" s="16" t="s">
        <v>13</v>
      </c>
      <c r="E93" s="16" t="s">
        <v>13</v>
      </c>
      <c r="F93" s="17"/>
      <c r="G93" s="18" t="s">
        <v>285</v>
      </c>
      <c r="H93" s="19">
        <v>1</v>
      </c>
      <c r="I93" s="16">
        <v>105</v>
      </c>
      <c r="J93" s="20"/>
    </row>
    <row r="94" spans="1:10" ht="28">
      <c r="A94" s="13" t="s">
        <v>286</v>
      </c>
      <c r="B94" s="14" t="s">
        <v>287</v>
      </c>
      <c r="C94" s="15" t="s">
        <v>62</v>
      </c>
      <c r="D94" s="16" t="s">
        <v>13</v>
      </c>
      <c r="E94" s="16" t="s">
        <v>13</v>
      </c>
      <c r="F94" s="17" t="s">
        <v>288</v>
      </c>
      <c r="G94" s="18" t="s">
        <v>289</v>
      </c>
      <c r="H94" s="19">
        <v>1</v>
      </c>
      <c r="I94" s="16">
        <v>107</v>
      </c>
      <c r="J94" s="20"/>
    </row>
    <row r="95" spans="1:10" ht="28">
      <c r="A95" s="13" t="s">
        <v>290</v>
      </c>
      <c r="B95" s="14" t="str">
        <f>LEFT(A95,10)</f>
        <v>deeded_acr</v>
      </c>
      <c r="C95" s="14" t="s">
        <v>67</v>
      </c>
      <c r="D95" s="23" t="s">
        <v>13</v>
      </c>
      <c r="E95" s="23" t="s">
        <v>13</v>
      </c>
      <c r="F95" s="14"/>
      <c r="G95" s="18" t="s">
        <v>291</v>
      </c>
      <c r="H95" s="24">
        <v>15</v>
      </c>
      <c r="I95" s="16">
        <v>108</v>
      </c>
      <c r="J95" s="20"/>
    </row>
    <row r="96" spans="1:10" ht="14">
      <c r="A96" s="13" t="s">
        <v>292</v>
      </c>
      <c r="B96" s="14"/>
      <c r="C96" s="15" t="s">
        <v>67</v>
      </c>
      <c r="D96" s="16" t="s">
        <v>13</v>
      </c>
      <c r="E96" s="16" t="s">
        <v>13</v>
      </c>
      <c r="F96" s="17" t="s">
        <v>293</v>
      </c>
      <c r="G96" s="18" t="s">
        <v>294</v>
      </c>
      <c r="H96" s="19">
        <v>1</v>
      </c>
      <c r="I96" s="16">
        <v>109</v>
      </c>
      <c r="J96" s="20"/>
    </row>
    <row r="97" spans="1:10" ht="14">
      <c r="A97" s="13" t="s">
        <v>295</v>
      </c>
      <c r="B97" s="14"/>
      <c r="C97" s="15" t="s">
        <v>67</v>
      </c>
      <c r="D97" s="16" t="s">
        <v>13</v>
      </c>
      <c r="E97" s="16" t="s">
        <v>13</v>
      </c>
      <c r="F97" s="17" t="s">
        <v>296</v>
      </c>
      <c r="G97" s="18" t="s">
        <v>297</v>
      </c>
      <c r="H97" s="19">
        <v>3</v>
      </c>
      <c r="I97" s="16">
        <v>110</v>
      </c>
      <c r="J97" s="20"/>
    </row>
    <row r="98" spans="1:10" ht="14">
      <c r="A98" s="13" t="s">
        <v>298</v>
      </c>
      <c r="B98" s="14"/>
      <c r="C98" s="15" t="s">
        <v>67</v>
      </c>
      <c r="D98" s="16" t="s">
        <v>13</v>
      </c>
      <c r="E98" s="16" t="s">
        <v>13</v>
      </c>
      <c r="F98" s="17" t="s">
        <v>299</v>
      </c>
      <c r="G98" s="18" t="s">
        <v>300</v>
      </c>
      <c r="H98" s="19">
        <v>5</v>
      </c>
      <c r="I98" s="16">
        <v>111</v>
      </c>
      <c r="J98" s="20"/>
    </row>
    <row r="99" spans="1:10" ht="14">
      <c r="A99" s="13" t="s">
        <v>301</v>
      </c>
      <c r="B99" s="14"/>
      <c r="C99" s="15" t="s">
        <v>62</v>
      </c>
      <c r="D99" s="16" t="s">
        <v>13</v>
      </c>
      <c r="E99" s="16" t="s">
        <v>13</v>
      </c>
      <c r="F99" s="17" t="s">
        <v>302</v>
      </c>
      <c r="G99" s="18" t="s">
        <v>303</v>
      </c>
      <c r="H99" s="19">
        <v>5</v>
      </c>
      <c r="I99" s="16">
        <v>112</v>
      </c>
      <c r="J99" s="20"/>
    </row>
    <row r="100" spans="1:10" ht="56">
      <c r="A100" s="13" t="s">
        <v>304</v>
      </c>
      <c r="B100" s="14" t="s">
        <v>305</v>
      </c>
      <c r="C100" s="15" t="s">
        <v>16</v>
      </c>
      <c r="D100" s="16" t="s">
        <v>13</v>
      </c>
      <c r="E100" s="16" t="s">
        <v>13</v>
      </c>
      <c r="F100" s="17" t="s">
        <v>306</v>
      </c>
      <c r="G100" s="18" t="s">
        <v>307</v>
      </c>
      <c r="H100" s="19">
        <v>10</v>
      </c>
      <c r="I100" s="16">
        <v>119</v>
      </c>
      <c r="J100" s="20"/>
    </row>
    <row r="101" spans="1:10" ht="56">
      <c r="A101" s="13" t="s">
        <v>308</v>
      </c>
      <c r="B101" s="14" t="s">
        <v>309</v>
      </c>
      <c r="C101" s="15" t="s">
        <v>16</v>
      </c>
      <c r="D101" s="16" t="s">
        <v>13</v>
      </c>
      <c r="E101" s="16" t="s">
        <v>13</v>
      </c>
      <c r="F101" s="17" t="s">
        <v>310</v>
      </c>
      <c r="G101" s="18" t="s">
        <v>311</v>
      </c>
      <c r="H101" s="19">
        <v>10</v>
      </c>
      <c r="I101" s="16">
        <v>120</v>
      </c>
      <c r="J101" s="20"/>
    </row>
    <row r="102" spans="1:10" ht="56">
      <c r="A102" s="13" t="s">
        <v>312</v>
      </c>
      <c r="B102" s="14"/>
      <c r="C102" s="15" t="s">
        <v>16</v>
      </c>
      <c r="D102" s="16" t="s">
        <v>13</v>
      </c>
      <c r="E102" s="16" t="s">
        <v>13</v>
      </c>
      <c r="F102" s="17" t="s">
        <v>313</v>
      </c>
      <c r="G102" s="18" t="s">
        <v>314</v>
      </c>
      <c r="H102" s="19">
        <v>10</v>
      </c>
      <c r="I102" s="16">
        <v>121</v>
      </c>
      <c r="J102" s="20"/>
    </row>
    <row r="103" spans="1:10" ht="14">
      <c r="A103" s="13" t="s">
        <v>315</v>
      </c>
      <c r="B103" s="14" t="s">
        <v>316</v>
      </c>
      <c r="C103" s="15" t="s">
        <v>91</v>
      </c>
      <c r="D103" s="16" t="s">
        <v>13</v>
      </c>
      <c r="E103" s="16" t="s">
        <v>13</v>
      </c>
      <c r="F103" s="17"/>
      <c r="G103" s="18" t="s">
        <v>317</v>
      </c>
      <c r="H103" s="19">
        <v>1</v>
      </c>
      <c r="I103" s="16">
        <v>122</v>
      </c>
      <c r="J103" s="20"/>
    </row>
    <row r="104" spans="1:10" ht="28">
      <c r="A104" s="13" t="s">
        <v>318</v>
      </c>
      <c r="B104" s="14"/>
      <c r="C104" s="15" t="s">
        <v>16</v>
      </c>
      <c r="D104" s="16" t="s">
        <v>13</v>
      </c>
      <c r="E104" s="16" t="s">
        <v>13</v>
      </c>
      <c r="F104" s="17" t="s">
        <v>319</v>
      </c>
      <c r="G104" s="18" t="s">
        <v>320</v>
      </c>
      <c r="H104" s="19">
        <v>1</v>
      </c>
      <c r="I104" s="16">
        <v>123</v>
      </c>
      <c r="J104" s="20"/>
    </row>
    <row r="105" spans="1:10" ht="112">
      <c r="A105" s="13" t="s">
        <v>321</v>
      </c>
      <c r="B105" s="14" t="s">
        <v>322</v>
      </c>
      <c r="C105" s="15" t="s">
        <v>16</v>
      </c>
      <c r="D105" s="16" t="s">
        <v>13</v>
      </c>
      <c r="E105" s="16" t="s">
        <v>13</v>
      </c>
      <c r="F105" s="29" t="s">
        <v>323</v>
      </c>
      <c r="G105" s="18" t="s">
        <v>324</v>
      </c>
      <c r="H105" s="19">
        <v>2</v>
      </c>
      <c r="I105" s="16">
        <v>124</v>
      </c>
      <c r="J105" s="20"/>
    </row>
    <row r="106" spans="1:10" ht="42">
      <c r="A106" s="13" t="s">
        <v>325</v>
      </c>
      <c r="B106" s="14"/>
      <c r="C106" s="15" t="s">
        <v>326</v>
      </c>
      <c r="D106" s="16" t="s">
        <v>13</v>
      </c>
      <c r="E106" s="16" t="s">
        <v>13</v>
      </c>
      <c r="F106" s="17" t="s">
        <v>327</v>
      </c>
      <c r="G106" s="18" t="s">
        <v>328</v>
      </c>
      <c r="H106" s="19">
        <v>3</v>
      </c>
      <c r="I106" s="16">
        <v>125</v>
      </c>
      <c r="J106" s="20"/>
    </row>
    <row r="107" spans="1:10" ht="56">
      <c r="A107" s="13" t="s">
        <v>329</v>
      </c>
      <c r="B107" s="14" t="s">
        <v>330</v>
      </c>
      <c r="C107" s="15" t="s">
        <v>16</v>
      </c>
      <c r="D107" s="16" t="s">
        <v>13</v>
      </c>
      <c r="E107" s="16" t="s">
        <v>13</v>
      </c>
      <c r="F107" s="17" t="s">
        <v>327</v>
      </c>
      <c r="G107" s="18" t="s">
        <v>331</v>
      </c>
      <c r="H107" s="24">
        <v>11</v>
      </c>
      <c r="I107" s="16">
        <v>126</v>
      </c>
      <c r="J107" s="20"/>
    </row>
    <row r="108" spans="1:10" ht="42">
      <c r="A108" s="13" t="s">
        <v>332</v>
      </c>
      <c r="B108" s="14" t="s">
        <v>333</v>
      </c>
      <c r="C108" s="15" t="s">
        <v>334</v>
      </c>
      <c r="D108" s="16" t="s">
        <v>13</v>
      </c>
      <c r="E108" s="16" t="s">
        <v>13</v>
      </c>
      <c r="F108" s="17" t="s">
        <v>335</v>
      </c>
      <c r="G108" s="18" t="s">
        <v>336</v>
      </c>
      <c r="H108" s="19">
        <v>3</v>
      </c>
      <c r="I108" s="16">
        <v>128</v>
      </c>
      <c r="J108" s="20"/>
    </row>
  </sheetData>
  <autoFilter ref="A1:J108" xr:uid="{00000000-0009-0000-0000-000000000000}"/>
  <customSheetViews>
    <customSheetView guid="{1FE985D7-DB8C-4786-A3DF-64E1589D0257}" filter="1" showAutoFilter="1">
      <pageMargins left="0.7" right="0.7" top="0.75" bottom="0.75" header="0.3" footer="0.3"/>
      <autoFilter ref="A1:I108" xr:uid="{9E3F3386-8BF0-9541-9571-8F2BD295DD34}"/>
    </customSheetView>
    <customSheetView guid="{DD742F73-A388-4E5D-8501-18029E3A909E}" filter="1" showAutoFilter="1">
      <pageMargins left="0.7" right="0.7" top="0.75" bottom="0.75" header="0.3" footer="0.3"/>
      <autoFilter ref="A2:I108" xr:uid="{D112F8D9-3A1A-8F42-B373-D1CA80FBA473}"/>
    </customSheetView>
  </customSheetViews>
  <hyperlinks>
    <hyperlink ref="G87" r:id="rId1" xr:uid="{00000000-0004-0000-0000-000000000000}"/>
  </hyperlinks>
  <printOptions horizontalCentered="1" gridLines="1"/>
  <pageMargins left="0.7" right="0.7" top="0.75" bottom="0.75" header="0" footer="0"/>
  <pageSetup fitToHeight="0" pageOrder="overThenDown" orientation="landscape" cellComments="atEnd"/>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Parcels Dataset Schema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cavise@withprimer.com</cp:lastModifiedBy>
  <dcterms:modified xsi:type="dcterms:W3CDTF">2025-07-30T12:25:48Z</dcterms:modified>
</cp:coreProperties>
</file>